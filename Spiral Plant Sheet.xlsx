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spiral analysis attock\"/>
    </mc:Choice>
  </mc:AlternateContent>
  <xr:revisionPtr revIDLastSave="0" documentId="13_ncr:1_{D4491AEC-C048-42B0-9C07-6D60975C58B6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Spiral Data on Actual Run" sheetId="1" r:id="rId1"/>
    <sheet name="Sensitivity Analysis Spiral 1" sheetId="2" r:id="rId2"/>
    <sheet name="Sensitivity Analysis Spiral 5" sheetId="3" r:id="rId3"/>
    <sheet name="Feed Flow Distribution Spir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H10" i="3"/>
  <c r="H11" i="3"/>
  <c r="H9" i="3"/>
  <c r="H7" i="3"/>
  <c r="H8" i="3"/>
  <c r="H6" i="3"/>
  <c r="H4" i="3"/>
  <c r="H5" i="3"/>
  <c r="H3" i="3"/>
  <c r="G11" i="3"/>
  <c r="G10" i="3"/>
  <c r="G9" i="3"/>
  <c r="G28" i="2"/>
  <c r="G29" i="2"/>
  <c r="G27" i="2"/>
  <c r="G25" i="2"/>
  <c r="G26" i="2"/>
  <c r="G24" i="2"/>
  <c r="G22" i="2"/>
  <c r="G23" i="2"/>
  <c r="G21" i="2"/>
  <c r="G19" i="2"/>
  <c r="G20" i="2"/>
  <c r="G18" i="2"/>
  <c r="G16" i="2"/>
  <c r="G17" i="2"/>
  <c r="G15" i="2"/>
  <c r="G13" i="2"/>
  <c r="G14" i="2"/>
  <c r="G12" i="2"/>
  <c r="G10" i="2"/>
  <c r="G11" i="2"/>
  <c r="G9" i="2"/>
  <c r="G7" i="2"/>
  <c r="G8" i="2"/>
  <c r="G6" i="2"/>
  <c r="G4" i="2"/>
  <c r="G5" i="2"/>
  <c r="G3" i="2"/>
  <c r="G4" i="3" l="1"/>
  <c r="G5" i="3"/>
  <c r="G6" i="3"/>
  <c r="G7" i="3"/>
  <c r="G8" i="3"/>
  <c r="G3" i="3"/>
  <c r="E4" i="4"/>
  <c r="E5" i="4"/>
  <c r="E6" i="4"/>
  <c r="E3" i="4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" i="2"/>
</calcChain>
</file>

<file path=xl/sharedStrings.xml><?xml version="1.0" encoding="utf-8"?>
<sst xmlns="http://schemas.openxmlformats.org/spreadsheetml/2006/main" count="109" uniqueCount="36">
  <si>
    <t>Product</t>
  </si>
  <si>
    <t>Flowrate (L/hr)</t>
  </si>
  <si>
    <t>Slurry Weight (g)</t>
  </si>
  <si>
    <t>Dry Solid Weight (g)</t>
  </si>
  <si>
    <t>% Solid</t>
  </si>
  <si>
    <t>Concentrate</t>
  </si>
  <si>
    <t>Middling</t>
  </si>
  <si>
    <t>Tailings</t>
  </si>
  <si>
    <t>—</t>
  </si>
  <si>
    <t>Spiral Data on Actual Run (Baseline)</t>
  </si>
  <si>
    <t>Condition</t>
  </si>
  <si>
    <t>Lowest Solid % &amp; Mid Splitter</t>
  </si>
  <si>
    <t>Lowest Solid % &amp; Narrow Splitter</t>
  </si>
  <si>
    <t>Lowest Solid % &amp; Open Splitter</t>
  </si>
  <si>
    <t>Highest Solid % &amp; Medium Splitter</t>
  </si>
  <si>
    <t>Highest Solid % &amp; Narrow Splitter</t>
  </si>
  <si>
    <t>Highest Solid % &amp; Open Splitter</t>
  </si>
  <si>
    <t>Medium Solid % &amp; Medium Splitter</t>
  </si>
  <si>
    <t>Medium Solid % &amp; Narrow Splitter</t>
  </si>
  <si>
    <t>Medium Solid % &amp; Open Splitter</t>
  </si>
  <si>
    <t>Product Type</t>
  </si>
  <si>
    <t>Sensitivity Analysis of Spiral 1</t>
  </si>
  <si>
    <t>Sensitivity Analysis of Spiral 5</t>
  </si>
  <si>
    <t>Sample No.</t>
  </si>
  <si>
    <t>At Narrow Splitter</t>
  </si>
  <si>
    <t>At Open Splitter</t>
  </si>
  <si>
    <t>Feed Line</t>
  </si>
  <si>
    <t>Line 1</t>
  </si>
  <si>
    <t>Line 2</t>
  </si>
  <si>
    <t>Additional Water</t>
  </si>
  <si>
    <t>Line 3</t>
  </si>
  <si>
    <t>Feed Flow Distribution in the Spiral Circuit</t>
  </si>
  <si>
    <t>Yield% based on flowrate</t>
  </si>
  <si>
    <t>Flowrate based Yield %</t>
  </si>
  <si>
    <t>At Medium Splitter</t>
  </si>
  <si>
    <t>Spiral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</si>
</sst>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4"/>
      <color theme="4" tint="-0.249977111117893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3" fontId="1" fillId="0" borderId="1" xfId="0" applyNumberFormat="1" applyFont="1" applyBorder="1" applyAlignment="1">
      <alignment horizontal="center" vertical="center" wrapText="1" readingOrder="1"/>
    </xf>
    <xf numFmtId="10" fontId="1" fillId="0" borderId="1" xfId="0" applyNumberFormat="1" applyFont="1" applyBorder="1" applyAlignment="1">
      <alignment horizontal="center" vertical="center" wrapText="1" readingOrder="1"/>
    </xf>
    <xf numFmtId="4" fontId="1" fillId="0" borderId="1" xfId="0" applyNumberFormat="1" applyFont="1" applyBorder="1" applyAlignment="1">
      <alignment horizontal="center" vertical="center" wrapText="1" readingOrder="1"/>
    </xf>
    <xf numFmtId="0" fontId="3" fillId="0" borderId="0" xfId="0" applyFont="1"/>
    <xf numFmtId="10" fontId="2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horizontal="center" vertical="center" wrapText="1" readingOrder="1"/>
    </xf>
    <xf numFmtId="0" fontId="4" fillId="0" borderId="0" xfId="0" applyFont="1"/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3" fontId="4" fillId="0" borderId="2" xfId="0" applyNumberFormat="1" applyFont="1" applyBorder="1" applyAlignment="1">
      <alignment horizontal="center" wrapText="1"/>
    </xf>
    <xf numFmtId="10" fontId="4" fillId="0" borderId="2" xfId="0" applyNumberFormat="1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center" vertical="center" readingOrder="1"/>
    </xf>
    <xf numFmtId="3" fontId="4" fillId="0" borderId="1" xfId="0" applyNumberFormat="1" applyFont="1" applyBorder="1" applyAlignment="1">
      <alignment horizontal="center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3" fontId="4" fillId="0" borderId="1" xfId="0" applyNumberFormat="1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opLeftCell="A2" zoomScale="85" zoomScaleNormal="85" workbookViewId="0">
      <selection activeCell="F4" sqref="F4"/>
    </sheetView>
  </sheetViews>
  <sheetFormatPr defaultRowHeight="15" x14ac:dyDescent="0.25"/>
  <cols>
    <col min="1" max="1" width="12" customWidth="1"/>
    <col min="2" max="2" width="12.28515625" customWidth="1"/>
    <col min="3" max="3" width="13.28515625" customWidth="1"/>
    <col min="4" max="4" width="14.42578125" customWidth="1"/>
    <col min="5" max="5" width="16.140625" customWidth="1"/>
    <col min="6" max="6" width="16.42578125" customWidth="1"/>
    <col min="7" max="7" width="15.28515625" customWidth="1"/>
  </cols>
  <sheetData>
    <row r="1" spans="1:7" ht="19.5" thickBot="1" x14ac:dyDescent="0.35">
      <c r="A1" s="10" t="s">
        <v>9</v>
      </c>
    </row>
    <row r="2" spans="1:7" ht="45.75" thickBot="1" x14ac:dyDescent="0.3">
      <c r="A2" s="5" t="s">
        <v>35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32</v>
      </c>
    </row>
    <row r="3" spans="1:7" ht="29.25" thickBot="1" x14ac:dyDescent="0.3">
      <c r="A3" s="5">
        <v>1</v>
      </c>
      <c r="B3" s="6" t="s">
        <v>5</v>
      </c>
      <c r="C3" s="7">
        <v>3132</v>
      </c>
      <c r="D3" s="19">
        <v>1027</v>
      </c>
      <c r="E3" s="6">
        <v>272</v>
      </c>
      <c r="F3" s="18">
        <f>(E3/D3)</f>
        <v>0.26484907497565724</v>
      </c>
      <c r="G3" s="12">
        <f>C3/12924</f>
        <v>0.24233983286908078</v>
      </c>
    </row>
    <row r="4" spans="1:7" ht="15.75" thickBot="1" x14ac:dyDescent="0.3">
      <c r="A4" s="6"/>
      <c r="B4" s="6" t="s">
        <v>6</v>
      </c>
      <c r="C4" s="7">
        <v>3204</v>
      </c>
      <c r="D4" s="19">
        <v>1119</v>
      </c>
      <c r="E4" s="6">
        <v>198</v>
      </c>
      <c r="F4" s="18">
        <f t="shared" ref="F4:F26" si="0">(E4/D4)</f>
        <v>0.17694369973190349</v>
      </c>
      <c r="G4" s="12">
        <f t="shared" ref="G4:G5" si="1">C4/12924</f>
        <v>0.24791086350974931</v>
      </c>
    </row>
    <row r="5" spans="1:7" ht="15.75" thickBot="1" x14ac:dyDescent="0.3">
      <c r="A5" s="6"/>
      <c r="B5" s="6" t="s">
        <v>7</v>
      </c>
      <c r="C5" s="7">
        <v>6588</v>
      </c>
      <c r="D5" s="19">
        <v>1454</v>
      </c>
      <c r="E5" s="6">
        <v>88</v>
      </c>
      <c r="F5" s="18">
        <f t="shared" si="0"/>
        <v>6.0522696011004129E-2</v>
      </c>
      <c r="G5" s="12">
        <f t="shared" si="1"/>
        <v>0.50974930362116988</v>
      </c>
    </row>
    <row r="6" spans="1:7" ht="29.25" thickBot="1" x14ac:dyDescent="0.3">
      <c r="A6" s="5">
        <v>2</v>
      </c>
      <c r="B6" s="6" t="s">
        <v>5</v>
      </c>
      <c r="C6" s="7">
        <v>2988</v>
      </c>
      <c r="D6" s="20">
        <v>1233</v>
      </c>
      <c r="E6" s="6">
        <v>968</v>
      </c>
      <c r="F6" s="18">
        <f t="shared" si="0"/>
        <v>0.78507704785077048</v>
      </c>
      <c r="G6" s="12">
        <f>C6/20898</f>
        <v>0.1429801894918174</v>
      </c>
    </row>
    <row r="7" spans="1:7" ht="15.75" thickBot="1" x14ac:dyDescent="0.3">
      <c r="A7" s="6"/>
      <c r="B7" s="6" t="s">
        <v>6</v>
      </c>
      <c r="C7" s="7">
        <v>2898</v>
      </c>
      <c r="D7" s="19">
        <v>4472</v>
      </c>
      <c r="E7" s="7">
        <v>1988</v>
      </c>
      <c r="F7" s="18">
        <f t="shared" si="0"/>
        <v>0.44454382826475852</v>
      </c>
      <c r="G7" s="12">
        <f t="shared" ref="G7:G8" si="2">C7/20898</f>
        <v>0.13867355727820843</v>
      </c>
    </row>
    <row r="8" spans="1:7" ht="15.75" thickBot="1" x14ac:dyDescent="0.3">
      <c r="A8" s="6"/>
      <c r="B8" s="6" t="s">
        <v>7</v>
      </c>
      <c r="C8" s="7">
        <v>15012</v>
      </c>
      <c r="D8" s="19">
        <v>2572</v>
      </c>
      <c r="E8" s="6">
        <v>273</v>
      </c>
      <c r="F8" s="18">
        <f t="shared" si="0"/>
        <v>0.10614307931570761</v>
      </c>
      <c r="G8" s="12">
        <f t="shared" si="2"/>
        <v>0.71834625322997414</v>
      </c>
    </row>
    <row r="9" spans="1:7" ht="29.25" thickBot="1" x14ac:dyDescent="0.3">
      <c r="A9" s="5">
        <v>3</v>
      </c>
      <c r="B9" s="6" t="s">
        <v>5</v>
      </c>
      <c r="C9" s="7">
        <v>2448</v>
      </c>
      <c r="D9" s="19">
        <v>1828</v>
      </c>
      <c r="E9" s="6">
        <v>874</v>
      </c>
      <c r="F9" s="18">
        <f t="shared" si="0"/>
        <v>0.47811816192560175</v>
      </c>
      <c r="G9" s="12">
        <f>C9/13554</f>
        <v>0.18061088977423639</v>
      </c>
    </row>
    <row r="10" spans="1:7" ht="15.75" thickBot="1" x14ac:dyDescent="0.3">
      <c r="A10" s="6"/>
      <c r="B10" s="6" t="s">
        <v>6</v>
      </c>
      <c r="C10" s="7">
        <v>3150</v>
      </c>
      <c r="D10" s="19">
        <v>2733</v>
      </c>
      <c r="E10" s="6">
        <v>725</v>
      </c>
      <c r="F10" s="18">
        <f t="shared" si="0"/>
        <v>0.26527625320160997</v>
      </c>
      <c r="G10" s="12">
        <f t="shared" ref="G10:G11" si="3">C10/13554</f>
        <v>0.23240371845949534</v>
      </c>
    </row>
    <row r="11" spans="1:7" ht="15.75" thickBot="1" x14ac:dyDescent="0.3">
      <c r="A11" s="6"/>
      <c r="B11" s="6" t="s">
        <v>7</v>
      </c>
      <c r="C11" s="7">
        <v>7956</v>
      </c>
      <c r="D11" s="19">
        <v>1478</v>
      </c>
      <c r="E11" s="6">
        <v>200</v>
      </c>
      <c r="F11" s="18">
        <f t="shared" si="0"/>
        <v>0.13531799729364005</v>
      </c>
      <c r="G11" s="12">
        <f t="shared" si="3"/>
        <v>0.58698539176626829</v>
      </c>
    </row>
    <row r="12" spans="1:7" ht="29.25" thickBot="1" x14ac:dyDescent="0.3">
      <c r="A12" s="5">
        <v>4</v>
      </c>
      <c r="B12" s="6" t="s">
        <v>5</v>
      </c>
      <c r="C12" s="7">
        <v>3636</v>
      </c>
      <c r="D12" s="19">
        <v>990</v>
      </c>
      <c r="E12" s="6">
        <v>725</v>
      </c>
      <c r="F12" s="18">
        <f t="shared" si="0"/>
        <v>0.73232323232323238</v>
      </c>
      <c r="G12" s="12">
        <f>C12/26182.8</f>
        <v>0.13886979238278566</v>
      </c>
    </row>
    <row r="13" spans="1:7" ht="15.75" thickBot="1" x14ac:dyDescent="0.3">
      <c r="A13" s="6"/>
      <c r="B13" s="6" t="s">
        <v>6</v>
      </c>
      <c r="C13" s="9">
        <v>2782.8</v>
      </c>
      <c r="D13" s="19">
        <v>2998</v>
      </c>
      <c r="E13" s="6">
        <v>547</v>
      </c>
      <c r="F13" s="18">
        <f t="shared" si="0"/>
        <v>0.18245496997998667</v>
      </c>
      <c r="G13" s="12">
        <f t="shared" ref="G13:G14" si="4">C13/26182.8</f>
        <v>0.10628351436821121</v>
      </c>
    </row>
    <row r="14" spans="1:7" ht="15.75" thickBot="1" x14ac:dyDescent="0.3">
      <c r="A14" s="6"/>
      <c r="B14" s="6" t="s">
        <v>7</v>
      </c>
      <c r="C14" s="7">
        <v>19764</v>
      </c>
      <c r="D14" s="19">
        <v>1482</v>
      </c>
      <c r="E14" s="6">
        <v>198</v>
      </c>
      <c r="F14" s="18">
        <f t="shared" si="0"/>
        <v>0.13360323886639677</v>
      </c>
      <c r="G14" s="12">
        <f t="shared" si="4"/>
        <v>0.75484669324900322</v>
      </c>
    </row>
    <row r="15" spans="1:7" ht="29.25" thickBot="1" x14ac:dyDescent="0.3">
      <c r="A15" s="5">
        <v>5</v>
      </c>
      <c r="B15" s="6" t="s">
        <v>5</v>
      </c>
      <c r="C15" s="7">
        <v>5148</v>
      </c>
      <c r="D15" s="19">
        <v>3501</v>
      </c>
      <c r="E15" s="6">
        <v>1074</v>
      </c>
      <c r="F15" s="18">
        <f t="shared" si="0"/>
        <v>0.30676949443016283</v>
      </c>
      <c r="G15" s="12">
        <f>C15/20232</f>
        <v>0.25444839857651247</v>
      </c>
    </row>
    <row r="16" spans="1:7" ht="15.75" thickBot="1" x14ac:dyDescent="0.3">
      <c r="A16" s="6"/>
      <c r="B16" s="6" t="s">
        <v>6</v>
      </c>
      <c r="C16" s="7">
        <v>2952</v>
      </c>
      <c r="D16" s="19">
        <v>1789</v>
      </c>
      <c r="E16" s="6">
        <v>483</v>
      </c>
      <c r="F16" s="18">
        <f t="shared" si="0"/>
        <v>0.26998323085522641</v>
      </c>
      <c r="G16" s="12">
        <f t="shared" ref="G16:G17" si="5">C16/20232</f>
        <v>0.14590747330960854</v>
      </c>
    </row>
    <row r="17" spans="1:7" ht="15.75" thickBot="1" x14ac:dyDescent="0.3">
      <c r="A17" s="6"/>
      <c r="B17" s="6" t="s">
        <v>7</v>
      </c>
      <c r="C17" s="7">
        <v>12132</v>
      </c>
      <c r="D17" s="19">
        <v>3246</v>
      </c>
      <c r="E17" s="6">
        <v>77</v>
      </c>
      <c r="F17" s="18">
        <f t="shared" si="0"/>
        <v>2.3721503388786199E-2</v>
      </c>
      <c r="G17" s="12">
        <f t="shared" si="5"/>
        <v>0.59964412811387902</v>
      </c>
    </row>
    <row r="18" spans="1:7" ht="29.25" thickBot="1" x14ac:dyDescent="0.3">
      <c r="A18" s="5">
        <v>6</v>
      </c>
      <c r="B18" s="6" t="s">
        <v>5</v>
      </c>
      <c r="C18" s="7">
        <v>3564</v>
      </c>
      <c r="D18" s="19">
        <v>3079</v>
      </c>
      <c r="E18" s="6">
        <v>649</v>
      </c>
      <c r="F18" s="18">
        <f t="shared" si="0"/>
        <v>0.21078272166287756</v>
      </c>
      <c r="G18" s="12">
        <f>C18/11232</f>
        <v>0.31730769230769229</v>
      </c>
    </row>
    <row r="19" spans="1:7" ht="15.75" thickBot="1" x14ac:dyDescent="0.3">
      <c r="A19" s="6"/>
      <c r="B19" s="6" t="s">
        <v>6</v>
      </c>
      <c r="C19" s="7">
        <v>3564</v>
      </c>
      <c r="D19" s="19">
        <v>1375</v>
      </c>
      <c r="E19" s="6">
        <v>155</v>
      </c>
      <c r="F19" s="18">
        <f t="shared" si="0"/>
        <v>0.11272727272727273</v>
      </c>
      <c r="G19" s="12">
        <f t="shared" ref="G19:G20" si="6">C19/11232</f>
        <v>0.31730769230769229</v>
      </c>
    </row>
    <row r="20" spans="1:7" ht="15.75" thickBot="1" x14ac:dyDescent="0.3">
      <c r="A20" s="6"/>
      <c r="B20" s="6" t="s">
        <v>7</v>
      </c>
      <c r="C20" s="7">
        <v>4104</v>
      </c>
      <c r="D20" s="19">
        <v>2008</v>
      </c>
      <c r="E20" s="6">
        <v>71</v>
      </c>
      <c r="F20" s="18">
        <f t="shared" si="0"/>
        <v>3.5358565737051796E-2</v>
      </c>
      <c r="G20" s="12">
        <f t="shared" si="6"/>
        <v>0.36538461538461536</v>
      </c>
    </row>
    <row r="21" spans="1:7" ht="29.25" thickBot="1" x14ac:dyDescent="0.3">
      <c r="A21" s="5">
        <v>7</v>
      </c>
      <c r="B21" s="6" t="s">
        <v>5</v>
      </c>
      <c r="C21" s="7">
        <v>1908</v>
      </c>
      <c r="D21" s="19">
        <v>2525</v>
      </c>
      <c r="E21" s="6">
        <v>322</v>
      </c>
      <c r="F21" s="18">
        <f t="shared" si="0"/>
        <v>0.12752475247524753</v>
      </c>
      <c r="G21" s="12">
        <f>C21/9180</f>
        <v>0.20784313725490197</v>
      </c>
    </row>
    <row r="22" spans="1:7" ht="15.75" thickBot="1" x14ac:dyDescent="0.3">
      <c r="A22" s="6"/>
      <c r="B22" s="6" t="s">
        <v>6</v>
      </c>
      <c r="C22" s="7">
        <v>2088</v>
      </c>
      <c r="D22" s="19">
        <v>1806</v>
      </c>
      <c r="E22" s="6">
        <v>64</v>
      </c>
      <c r="F22" s="18">
        <f t="shared" si="0"/>
        <v>3.5437430786267994E-2</v>
      </c>
      <c r="G22" s="12">
        <f t="shared" ref="G22:G23" si="7">C22/9180</f>
        <v>0.22745098039215686</v>
      </c>
    </row>
    <row r="23" spans="1:7" ht="15.75" thickBot="1" x14ac:dyDescent="0.3">
      <c r="A23" s="6"/>
      <c r="B23" s="6" t="s">
        <v>7</v>
      </c>
      <c r="C23" s="7">
        <v>5184</v>
      </c>
      <c r="D23" s="19">
        <v>1295</v>
      </c>
      <c r="E23" s="6">
        <v>46</v>
      </c>
      <c r="F23" s="18">
        <f t="shared" si="0"/>
        <v>3.5521235521235518E-2</v>
      </c>
      <c r="G23" s="12">
        <f t="shared" si="7"/>
        <v>0.56470588235294117</v>
      </c>
    </row>
    <row r="24" spans="1:7" ht="29.25" thickBot="1" x14ac:dyDescent="0.3">
      <c r="A24" s="5">
        <v>8</v>
      </c>
      <c r="B24" s="6" t="s">
        <v>5</v>
      </c>
      <c r="C24" s="7">
        <v>6480</v>
      </c>
      <c r="D24" s="19">
        <v>2980</v>
      </c>
      <c r="E24" s="6">
        <v>340</v>
      </c>
      <c r="F24" s="18">
        <f t="shared" si="0"/>
        <v>0.11409395973154363</v>
      </c>
      <c r="G24" s="12">
        <f>C24/16380</f>
        <v>0.39560439560439559</v>
      </c>
    </row>
    <row r="25" spans="1:7" ht="15.75" thickBot="1" x14ac:dyDescent="0.3">
      <c r="A25" s="6"/>
      <c r="B25" s="6" t="s">
        <v>6</v>
      </c>
      <c r="C25" s="7">
        <v>2448</v>
      </c>
      <c r="D25" s="19">
        <v>1481</v>
      </c>
      <c r="E25" s="6">
        <v>188</v>
      </c>
      <c r="F25" s="18">
        <f t="shared" si="0"/>
        <v>0.12694125590817015</v>
      </c>
      <c r="G25" s="12">
        <f t="shared" ref="G25:G26" si="8">C25/16380</f>
        <v>0.14945054945054945</v>
      </c>
    </row>
    <row r="26" spans="1:7" ht="15.75" thickBot="1" x14ac:dyDescent="0.3">
      <c r="A26" s="6"/>
      <c r="B26" s="6" t="s">
        <v>7</v>
      </c>
      <c r="C26" s="7">
        <v>7452</v>
      </c>
      <c r="D26" s="19">
        <v>2701</v>
      </c>
      <c r="E26" s="6">
        <v>74</v>
      </c>
      <c r="F26" s="18">
        <f t="shared" si="0"/>
        <v>2.7397260273972601E-2</v>
      </c>
      <c r="G26" s="12">
        <f t="shared" si="8"/>
        <v>0.45494505494505494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opLeftCell="A3" zoomScale="59" zoomScaleNormal="59" workbookViewId="0">
      <selection activeCell="M18" sqref="M18"/>
    </sheetView>
  </sheetViews>
  <sheetFormatPr defaultRowHeight="15" x14ac:dyDescent="0.25"/>
  <cols>
    <col min="1" max="1" width="27.42578125" customWidth="1"/>
    <col min="2" max="2" width="15" customWidth="1"/>
    <col min="3" max="3" width="13.7109375" customWidth="1"/>
    <col min="4" max="4" width="15.85546875" customWidth="1"/>
    <col min="5" max="5" width="14.5703125" customWidth="1"/>
    <col min="6" max="6" width="13" customWidth="1"/>
    <col min="7" max="7" width="17.42578125" customWidth="1"/>
  </cols>
  <sheetData>
    <row r="1" spans="1:7" ht="19.5" thickBot="1" x14ac:dyDescent="0.35">
      <c r="A1" s="10" t="s">
        <v>21</v>
      </c>
    </row>
    <row r="2" spans="1:7" ht="45.75" thickBot="1" x14ac:dyDescent="0.3">
      <c r="A2" s="14" t="s">
        <v>10</v>
      </c>
      <c r="B2" s="14" t="s">
        <v>20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33</v>
      </c>
    </row>
    <row r="3" spans="1:7" ht="30.75" thickBot="1" x14ac:dyDescent="0.3">
      <c r="A3" s="14" t="s">
        <v>11</v>
      </c>
      <c r="B3" s="15" t="s">
        <v>5</v>
      </c>
      <c r="C3" s="16">
        <v>3132</v>
      </c>
      <c r="D3" s="16">
        <v>1027</v>
      </c>
      <c r="E3" s="15">
        <v>267</v>
      </c>
      <c r="F3" s="17">
        <f>E3/D3</f>
        <v>0.2599805258033106</v>
      </c>
      <c r="G3" s="17">
        <f>C3/12924</f>
        <v>0.24233983286908078</v>
      </c>
    </row>
    <row r="4" spans="1:7" ht="15.75" thickBot="1" x14ac:dyDescent="0.3">
      <c r="A4" s="14"/>
      <c r="B4" s="15" t="s">
        <v>7</v>
      </c>
      <c r="C4" s="16">
        <v>6588</v>
      </c>
      <c r="D4" s="16">
        <v>1454</v>
      </c>
      <c r="E4" s="15">
        <v>147</v>
      </c>
      <c r="F4" s="17">
        <f t="shared" ref="F4:F29" si="0">E4/D4</f>
        <v>0.10110041265474554</v>
      </c>
      <c r="G4" s="17">
        <f t="shared" ref="G4:G5" si="1">C4/12924</f>
        <v>0.50974930362116988</v>
      </c>
    </row>
    <row r="5" spans="1:7" ht="15.75" thickBot="1" x14ac:dyDescent="0.3">
      <c r="A5" s="14"/>
      <c r="B5" s="15" t="s">
        <v>6</v>
      </c>
      <c r="C5" s="16">
        <v>3204</v>
      </c>
      <c r="D5" s="16">
        <v>1119</v>
      </c>
      <c r="E5" s="15">
        <v>188</v>
      </c>
      <c r="F5" s="17">
        <f t="shared" si="0"/>
        <v>0.1680071492403932</v>
      </c>
      <c r="G5" s="17">
        <f t="shared" si="1"/>
        <v>0.24791086350974931</v>
      </c>
    </row>
    <row r="6" spans="1:7" ht="30.75" thickBot="1" x14ac:dyDescent="0.3">
      <c r="A6" s="14" t="s">
        <v>12</v>
      </c>
      <c r="B6" s="15" t="s">
        <v>5</v>
      </c>
      <c r="C6" s="16">
        <v>2448</v>
      </c>
      <c r="D6" s="16">
        <v>901</v>
      </c>
      <c r="E6" s="15">
        <v>80</v>
      </c>
      <c r="F6" s="17">
        <f t="shared" si="0"/>
        <v>8.8790233074361818E-2</v>
      </c>
      <c r="G6" s="17">
        <f>C6/13212</f>
        <v>0.18528610354223432</v>
      </c>
    </row>
    <row r="7" spans="1:7" ht="15.75" thickBot="1" x14ac:dyDescent="0.3">
      <c r="A7" s="14"/>
      <c r="B7" s="15" t="s">
        <v>7</v>
      </c>
      <c r="C7" s="16">
        <v>6804</v>
      </c>
      <c r="D7" s="16">
        <v>2485</v>
      </c>
      <c r="E7" s="15">
        <v>106</v>
      </c>
      <c r="F7" s="17">
        <f t="shared" si="0"/>
        <v>4.265593561368209E-2</v>
      </c>
      <c r="G7" s="17">
        <f t="shared" ref="G7:G8" si="2">C7/13212</f>
        <v>0.51498637602179842</v>
      </c>
    </row>
    <row r="8" spans="1:7" ht="15.75" thickBot="1" x14ac:dyDescent="0.3">
      <c r="A8" s="14"/>
      <c r="B8" s="15" t="s">
        <v>6</v>
      </c>
      <c r="C8" s="16">
        <v>3960</v>
      </c>
      <c r="D8" s="16">
        <v>1232</v>
      </c>
      <c r="E8" s="15">
        <v>257</v>
      </c>
      <c r="F8" s="17">
        <f t="shared" si="0"/>
        <v>0.2086038961038961</v>
      </c>
      <c r="G8" s="17">
        <f t="shared" si="2"/>
        <v>0.29972752043596729</v>
      </c>
    </row>
    <row r="9" spans="1:7" ht="30.75" thickBot="1" x14ac:dyDescent="0.3">
      <c r="A9" s="14" t="s">
        <v>13</v>
      </c>
      <c r="B9" s="15" t="s">
        <v>5</v>
      </c>
      <c r="C9" s="16">
        <v>2820</v>
      </c>
      <c r="D9" s="16">
        <v>1559</v>
      </c>
      <c r="E9" s="15">
        <v>507</v>
      </c>
      <c r="F9" s="17">
        <f t="shared" si="0"/>
        <v>0.32520846696600386</v>
      </c>
      <c r="G9" s="17">
        <f>C9/12072</f>
        <v>0.23359840954274355</v>
      </c>
    </row>
    <row r="10" spans="1:7" ht="15.75" thickBot="1" x14ac:dyDescent="0.3">
      <c r="A10" s="14"/>
      <c r="B10" s="15" t="s">
        <v>7</v>
      </c>
      <c r="C10" s="16">
        <v>6552</v>
      </c>
      <c r="D10" s="16">
        <v>1241</v>
      </c>
      <c r="E10" s="15">
        <v>72</v>
      </c>
      <c r="F10" s="17">
        <f t="shared" si="0"/>
        <v>5.8017727639000809E-2</v>
      </c>
      <c r="G10" s="17">
        <f t="shared" ref="G10:G11" si="3">C10/12072</f>
        <v>0.54274353876739567</v>
      </c>
    </row>
    <row r="11" spans="1:7" ht="15.75" thickBot="1" x14ac:dyDescent="0.3">
      <c r="A11" s="14"/>
      <c r="B11" s="15" t="s">
        <v>6</v>
      </c>
      <c r="C11" s="16">
        <v>2700</v>
      </c>
      <c r="D11" s="16">
        <v>1139</v>
      </c>
      <c r="E11" s="15">
        <v>103</v>
      </c>
      <c r="F11" s="17">
        <f t="shared" si="0"/>
        <v>9.0430201931518878E-2</v>
      </c>
      <c r="G11" s="17">
        <f t="shared" si="3"/>
        <v>0.22365805168986083</v>
      </c>
    </row>
    <row r="12" spans="1:7" ht="30.75" thickBot="1" x14ac:dyDescent="0.3">
      <c r="A12" s="14" t="s">
        <v>14</v>
      </c>
      <c r="B12" s="15" t="s">
        <v>5</v>
      </c>
      <c r="C12" s="16">
        <v>3132</v>
      </c>
      <c r="D12" s="16">
        <v>1603</v>
      </c>
      <c r="E12" s="15">
        <v>364</v>
      </c>
      <c r="F12" s="17">
        <f t="shared" si="0"/>
        <v>0.22707423580786026</v>
      </c>
      <c r="G12" s="17">
        <f>C12/9372</f>
        <v>0.33418693982074266</v>
      </c>
    </row>
    <row r="13" spans="1:7" ht="15.75" thickBot="1" x14ac:dyDescent="0.3">
      <c r="A13" s="14"/>
      <c r="B13" s="15" t="s">
        <v>7</v>
      </c>
      <c r="C13" s="16">
        <v>4200</v>
      </c>
      <c r="D13" s="16">
        <v>1476</v>
      </c>
      <c r="E13" s="15">
        <v>89</v>
      </c>
      <c r="F13" s="17">
        <f t="shared" si="0"/>
        <v>6.0298102981029812E-2</v>
      </c>
      <c r="G13" s="17">
        <f t="shared" ref="G13:G14" si="4">C13/9372</f>
        <v>0.44814340588988477</v>
      </c>
    </row>
    <row r="14" spans="1:7" ht="15.75" thickBot="1" x14ac:dyDescent="0.3">
      <c r="A14" s="14"/>
      <c r="B14" s="15" t="s">
        <v>6</v>
      </c>
      <c r="C14" s="16">
        <v>2040</v>
      </c>
      <c r="D14" s="16">
        <v>1066</v>
      </c>
      <c r="E14" s="15">
        <v>157</v>
      </c>
      <c r="F14" s="17">
        <f t="shared" si="0"/>
        <v>0.1472795497185741</v>
      </c>
      <c r="G14" s="17">
        <f t="shared" si="4"/>
        <v>0.2176696542893726</v>
      </c>
    </row>
    <row r="15" spans="1:7" ht="30.75" thickBot="1" x14ac:dyDescent="0.3">
      <c r="A15" s="14" t="s">
        <v>15</v>
      </c>
      <c r="B15" s="15" t="s">
        <v>5</v>
      </c>
      <c r="C15" s="16">
        <v>3612</v>
      </c>
      <c r="D15" s="16">
        <v>1267</v>
      </c>
      <c r="E15" s="15">
        <v>93</v>
      </c>
      <c r="F15" s="17">
        <f t="shared" si="0"/>
        <v>7.34017363851618E-2</v>
      </c>
      <c r="G15" s="17">
        <f>C15/8634</f>
        <v>0.41834607366226545</v>
      </c>
    </row>
    <row r="16" spans="1:7" ht="15.75" thickBot="1" x14ac:dyDescent="0.3">
      <c r="A16" s="14"/>
      <c r="B16" s="15" t="s">
        <v>7</v>
      </c>
      <c r="C16" s="16">
        <v>1896</v>
      </c>
      <c r="D16" s="16">
        <v>1583</v>
      </c>
      <c r="E16" s="15">
        <v>80</v>
      </c>
      <c r="F16" s="17">
        <f t="shared" si="0"/>
        <v>5.0536955148452307E-2</v>
      </c>
      <c r="G16" s="17">
        <f t="shared" ref="G16:G17" si="5">C16/8634</f>
        <v>0.21959694232105628</v>
      </c>
    </row>
    <row r="17" spans="1:7" ht="15.75" thickBot="1" x14ac:dyDescent="0.3">
      <c r="A17" s="14"/>
      <c r="B17" s="15" t="s">
        <v>6</v>
      </c>
      <c r="C17" s="16">
        <v>3126</v>
      </c>
      <c r="D17" s="16">
        <v>1628</v>
      </c>
      <c r="E17" s="15">
        <v>388</v>
      </c>
      <c r="F17" s="17">
        <f t="shared" si="0"/>
        <v>0.23832923832923833</v>
      </c>
      <c r="G17" s="17">
        <f t="shared" si="5"/>
        <v>0.36205698401667824</v>
      </c>
    </row>
    <row r="18" spans="1:7" ht="30.75" thickBot="1" x14ac:dyDescent="0.3">
      <c r="A18" s="14" t="s">
        <v>16</v>
      </c>
      <c r="B18" s="15" t="s">
        <v>5</v>
      </c>
      <c r="C18" s="16">
        <v>2100</v>
      </c>
      <c r="D18" s="16">
        <v>1890</v>
      </c>
      <c r="E18" s="15">
        <v>396</v>
      </c>
      <c r="F18" s="17">
        <f t="shared" si="0"/>
        <v>0.20952380952380953</v>
      </c>
      <c r="G18" s="17">
        <f>C18/9876</f>
        <v>0.21263669501822599</v>
      </c>
    </row>
    <row r="19" spans="1:7" ht="15.75" thickBot="1" x14ac:dyDescent="0.3">
      <c r="A19" s="14"/>
      <c r="B19" s="15" t="s">
        <v>7</v>
      </c>
      <c r="C19" s="16">
        <v>5040</v>
      </c>
      <c r="D19" s="16">
        <v>2159</v>
      </c>
      <c r="E19" s="15">
        <v>134</v>
      </c>
      <c r="F19" s="17">
        <f t="shared" si="0"/>
        <v>6.2065771190365909E-2</v>
      </c>
      <c r="G19" s="17">
        <f t="shared" ref="G19:G20" si="6">C19/9876</f>
        <v>0.51032806804374242</v>
      </c>
    </row>
    <row r="20" spans="1:7" ht="15.75" thickBot="1" x14ac:dyDescent="0.3">
      <c r="A20" s="14"/>
      <c r="B20" s="15" t="s">
        <v>6</v>
      </c>
      <c r="C20" s="16">
        <v>2736</v>
      </c>
      <c r="D20" s="16">
        <v>1118</v>
      </c>
      <c r="E20" s="15">
        <v>95</v>
      </c>
      <c r="F20" s="17">
        <f t="shared" si="0"/>
        <v>8.4973166368515207E-2</v>
      </c>
      <c r="G20" s="17">
        <f t="shared" si="6"/>
        <v>0.27703523693803161</v>
      </c>
    </row>
    <row r="21" spans="1:7" ht="30.75" thickBot="1" x14ac:dyDescent="0.3">
      <c r="A21" s="14" t="s">
        <v>17</v>
      </c>
      <c r="B21" s="15" t="s">
        <v>5</v>
      </c>
      <c r="C21" s="16">
        <v>2508</v>
      </c>
      <c r="D21" s="16">
        <v>2244</v>
      </c>
      <c r="E21" s="15">
        <v>551</v>
      </c>
      <c r="F21" s="17">
        <f t="shared" si="0"/>
        <v>0.24554367201426025</v>
      </c>
      <c r="G21" s="17">
        <f>C21/10116</f>
        <v>0.24792408066429419</v>
      </c>
    </row>
    <row r="22" spans="1:7" ht="15.75" thickBot="1" x14ac:dyDescent="0.3">
      <c r="A22" s="14"/>
      <c r="B22" s="15" t="s">
        <v>7</v>
      </c>
      <c r="C22" s="16">
        <v>3276</v>
      </c>
      <c r="D22" s="16">
        <v>2045</v>
      </c>
      <c r="E22" s="15">
        <v>79</v>
      </c>
      <c r="F22" s="17">
        <f t="shared" si="0"/>
        <v>3.8630806845965773E-2</v>
      </c>
      <c r="G22" s="17">
        <f t="shared" ref="G22:G23" si="7">C22/10116</f>
        <v>0.32384341637010677</v>
      </c>
    </row>
    <row r="23" spans="1:7" ht="15.75" thickBot="1" x14ac:dyDescent="0.3">
      <c r="A23" s="14"/>
      <c r="B23" s="15" t="s">
        <v>6</v>
      </c>
      <c r="C23" s="16">
        <v>4332</v>
      </c>
      <c r="D23" s="16">
        <v>1296</v>
      </c>
      <c r="E23" s="15">
        <v>223</v>
      </c>
      <c r="F23" s="17">
        <f t="shared" si="0"/>
        <v>0.17206790123456789</v>
      </c>
      <c r="G23" s="17">
        <f t="shared" si="7"/>
        <v>0.42823250296559906</v>
      </c>
    </row>
    <row r="24" spans="1:7" ht="30.75" thickBot="1" x14ac:dyDescent="0.3">
      <c r="A24" s="14" t="s">
        <v>18</v>
      </c>
      <c r="B24" s="15" t="s">
        <v>5</v>
      </c>
      <c r="C24" s="16">
        <v>2268</v>
      </c>
      <c r="D24" s="16">
        <v>1742</v>
      </c>
      <c r="E24" s="15">
        <v>445</v>
      </c>
      <c r="F24" s="17">
        <f t="shared" si="0"/>
        <v>0.25545350172215842</v>
      </c>
      <c r="G24" s="17">
        <f>C24/9480</f>
        <v>0.23924050632911392</v>
      </c>
    </row>
    <row r="25" spans="1:7" ht="15.75" thickBot="1" x14ac:dyDescent="0.3">
      <c r="A25" s="14"/>
      <c r="B25" s="15" t="s">
        <v>7</v>
      </c>
      <c r="C25" s="16">
        <v>2700</v>
      </c>
      <c r="D25" s="16">
        <v>1239</v>
      </c>
      <c r="E25" s="15">
        <v>64</v>
      </c>
      <c r="F25" s="17">
        <f t="shared" si="0"/>
        <v>5.1654560129136398E-2</v>
      </c>
      <c r="G25" s="17">
        <f t="shared" ref="G25:G26" si="8">C25/9480</f>
        <v>0.2848101265822785</v>
      </c>
    </row>
    <row r="26" spans="1:7" ht="15.75" thickBot="1" x14ac:dyDescent="0.3">
      <c r="A26" s="14"/>
      <c r="B26" s="15" t="s">
        <v>6</v>
      </c>
      <c r="C26" s="16">
        <v>4512</v>
      </c>
      <c r="D26" s="16">
        <v>1658</v>
      </c>
      <c r="E26" s="15">
        <v>508</v>
      </c>
      <c r="F26" s="17">
        <f t="shared" si="0"/>
        <v>0.30639324487334135</v>
      </c>
      <c r="G26" s="17">
        <f t="shared" si="8"/>
        <v>0.47594936708860758</v>
      </c>
    </row>
    <row r="27" spans="1:7" ht="30.75" thickBot="1" x14ac:dyDescent="0.3">
      <c r="A27" s="14" t="s">
        <v>19</v>
      </c>
      <c r="B27" s="15" t="s">
        <v>5</v>
      </c>
      <c r="C27" s="16">
        <v>14928</v>
      </c>
      <c r="D27" s="16">
        <v>2192</v>
      </c>
      <c r="E27" s="15">
        <v>555</v>
      </c>
      <c r="F27" s="17">
        <f t="shared" si="0"/>
        <v>0.25319343065693428</v>
      </c>
      <c r="G27" s="17">
        <f>C27/43692</f>
        <v>0.34166437791815435</v>
      </c>
    </row>
    <row r="28" spans="1:7" ht="15.75" thickBot="1" x14ac:dyDescent="0.3">
      <c r="A28" s="14"/>
      <c r="B28" s="15" t="s">
        <v>7</v>
      </c>
      <c r="C28" s="16">
        <v>6768</v>
      </c>
      <c r="D28" s="16">
        <v>2056</v>
      </c>
      <c r="E28" s="15">
        <v>100</v>
      </c>
      <c r="F28" s="17">
        <f t="shared" si="0"/>
        <v>4.8638132295719845E-2</v>
      </c>
      <c r="G28" s="17">
        <f t="shared" ref="G28:G29" si="9">C28/43692</f>
        <v>0.15490249931337544</v>
      </c>
    </row>
    <row r="29" spans="1:7" ht="15.75" thickBot="1" x14ac:dyDescent="0.3">
      <c r="A29" s="14"/>
      <c r="B29" s="15" t="s">
        <v>6</v>
      </c>
      <c r="C29" s="16">
        <v>21996</v>
      </c>
      <c r="D29" s="16">
        <v>1219</v>
      </c>
      <c r="E29" s="15">
        <v>112</v>
      </c>
      <c r="F29" s="17">
        <f t="shared" si="0"/>
        <v>9.1878589007383105E-2</v>
      </c>
      <c r="G29" s="17">
        <f t="shared" si="9"/>
        <v>0.50343312276847019</v>
      </c>
    </row>
    <row r="30" spans="1:7" x14ac:dyDescent="0.25">
      <c r="A30" s="13"/>
      <c r="B30" s="13"/>
      <c r="C30" s="13"/>
      <c r="D30" s="13"/>
      <c r="E30" s="13"/>
      <c r="F30" s="13"/>
      <c r="G3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>
      <selection activeCell="M9" sqref="M9"/>
    </sheetView>
  </sheetViews>
  <sheetFormatPr defaultRowHeight="15" x14ac:dyDescent="0.25"/>
  <cols>
    <col min="1" max="1" width="11.5703125" customWidth="1"/>
    <col min="2" max="2" width="8.85546875" customWidth="1"/>
    <col min="3" max="3" width="13.140625" customWidth="1"/>
    <col min="4" max="4" width="10.7109375" customWidth="1"/>
    <col min="5" max="5" width="11.140625" customWidth="1"/>
    <col min="6" max="6" width="10.85546875" customWidth="1"/>
    <col min="8" max="8" width="10.42578125" customWidth="1"/>
  </cols>
  <sheetData>
    <row r="1" spans="1:8" ht="19.5" thickBot="1" x14ac:dyDescent="0.35">
      <c r="A1" s="10" t="s">
        <v>22</v>
      </c>
    </row>
    <row r="2" spans="1:8" ht="60.75" thickBot="1" x14ac:dyDescent="0.3">
      <c r="A2" s="1" t="s">
        <v>10</v>
      </c>
      <c r="B2" s="1" t="s">
        <v>23</v>
      </c>
      <c r="C2" s="1" t="s">
        <v>20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33</v>
      </c>
    </row>
    <row r="3" spans="1:8" ht="30.75" thickBot="1" x14ac:dyDescent="0.3">
      <c r="A3" s="1" t="s">
        <v>24</v>
      </c>
      <c r="B3" s="2">
        <v>29</v>
      </c>
      <c r="C3" s="2" t="s">
        <v>5</v>
      </c>
      <c r="D3" s="3">
        <v>3780</v>
      </c>
      <c r="E3" s="3">
        <v>2242</v>
      </c>
      <c r="F3" s="2">
        <v>482</v>
      </c>
      <c r="G3" s="4">
        <f>F3/E3</f>
        <v>0.21498661909009811</v>
      </c>
      <c r="H3" s="11">
        <f>D3/20808</f>
        <v>0.18166089965397925</v>
      </c>
    </row>
    <row r="4" spans="1:8" ht="15.75" thickBot="1" x14ac:dyDescent="0.3">
      <c r="A4" s="2"/>
      <c r="B4" s="2">
        <v>30</v>
      </c>
      <c r="C4" s="2" t="s">
        <v>7</v>
      </c>
      <c r="D4" s="3">
        <v>11124</v>
      </c>
      <c r="E4" s="3">
        <v>1917</v>
      </c>
      <c r="F4" s="2">
        <v>71</v>
      </c>
      <c r="G4" s="4">
        <f t="shared" ref="G4:G8" si="0">F4/E4</f>
        <v>3.7037037037037035E-2</v>
      </c>
      <c r="H4" s="11">
        <f t="shared" ref="H4:H5" si="1">D4/20808</f>
        <v>0.53460207612456745</v>
      </c>
    </row>
    <row r="5" spans="1:8" ht="15.75" thickBot="1" x14ac:dyDescent="0.3">
      <c r="A5" s="2"/>
      <c r="B5" s="2">
        <v>43</v>
      </c>
      <c r="C5" s="2" t="s">
        <v>6</v>
      </c>
      <c r="D5" s="3">
        <v>5904</v>
      </c>
      <c r="E5" s="3">
        <v>2497</v>
      </c>
      <c r="F5" s="2">
        <v>676</v>
      </c>
      <c r="G5" s="4">
        <f t="shared" si="0"/>
        <v>0.27072486984381255</v>
      </c>
      <c r="H5" s="11">
        <f t="shared" si="1"/>
        <v>0.2837370242214533</v>
      </c>
    </row>
    <row r="6" spans="1:8" ht="30.75" thickBot="1" x14ac:dyDescent="0.3">
      <c r="A6" s="1" t="s">
        <v>25</v>
      </c>
      <c r="B6" s="2">
        <v>31</v>
      </c>
      <c r="C6" s="2" t="s">
        <v>5</v>
      </c>
      <c r="D6" s="3">
        <v>3528</v>
      </c>
      <c r="E6" s="3">
        <v>2239</v>
      </c>
      <c r="F6" s="2">
        <v>736</v>
      </c>
      <c r="G6" s="4">
        <f t="shared" si="0"/>
        <v>0.32871817775792767</v>
      </c>
      <c r="H6" s="11">
        <f>D6/18792</f>
        <v>0.18773946360153257</v>
      </c>
    </row>
    <row r="7" spans="1:8" ht="15.75" thickBot="1" x14ac:dyDescent="0.3">
      <c r="A7" s="2"/>
      <c r="B7" s="2">
        <v>32</v>
      </c>
      <c r="C7" s="2" t="s">
        <v>7</v>
      </c>
      <c r="D7" s="3">
        <v>11412</v>
      </c>
      <c r="E7" s="3">
        <v>2149</v>
      </c>
      <c r="F7" s="2">
        <v>74</v>
      </c>
      <c r="G7" s="4">
        <f t="shared" si="0"/>
        <v>3.4434620753838997E-2</v>
      </c>
      <c r="H7" s="11">
        <f t="shared" ref="H7:H8" si="2">D7/18792</f>
        <v>0.60727969348659006</v>
      </c>
    </row>
    <row r="8" spans="1:8" ht="15.75" thickBot="1" x14ac:dyDescent="0.3">
      <c r="A8" s="2"/>
      <c r="B8" s="2">
        <v>44</v>
      </c>
      <c r="C8" s="2" t="s">
        <v>6</v>
      </c>
      <c r="D8" s="3">
        <v>3852</v>
      </c>
      <c r="E8" s="3">
        <v>1802</v>
      </c>
      <c r="F8" s="2">
        <v>347</v>
      </c>
      <c r="G8" s="4">
        <f t="shared" si="0"/>
        <v>0.1925638179800222</v>
      </c>
      <c r="H8" s="11">
        <f t="shared" si="2"/>
        <v>0.2049808429118774</v>
      </c>
    </row>
    <row r="9" spans="1:8" ht="45.75" thickBot="1" x14ac:dyDescent="0.3">
      <c r="A9" s="1" t="s">
        <v>34</v>
      </c>
      <c r="B9" s="2"/>
      <c r="C9" s="2" t="s">
        <v>5</v>
      </c>
      <c r="D9" s="3">
        <v>5148</v>
      </c>
      <c r="E9" s="22">
        <v>3501</v>
      </c>
      <c r="F9" s="2">
        <v>1074</v>
      </c>
      <c r="G9" s="23">
        <f t="shared" ref="G9:G11" si="3">(F9/E9)</f>
        <v>0.30676949443016283</v>
      </c>
      <c r="H9" s="11">
        <f>D9/20232</f>
        <v>0.25444839857651247</v>
      </c>
    </row>
    <row r="10" spans="1:8" ht="15.75" thickBot="1" x14ac:dyDescent="0.3">
      <c r="A10" s="2"/>
      <c r="B10" s="2"/>
      <c r="C10" s="2" t="s">
        <v>6</v>
      </c>
      <c r="D10" s="3">
        <v>2952</v>
      </c>
      <c r="E10" s="22">
        <v>1789</v>
      </c>
      <c r="F10" s="2">
        <v>483</v>
      </c>
      <c r="G10" s="23">
        <f t="shared" si="3"/>
        <v>0.26998323085522641</v>
      </c>
      <c r="H10" s="11">
        <f t="shared" ref="H10:H11" si="4">D10/20232</f>
        <v>0.14590747330960854</v>
      </c>
    </row>
    <row r="11" spans="1:8" ht="15.75" thickBot="1" x14ac:dyDescent="0.3">
      <c r="A11" s="2"/>
      <c r="B11" s="2"/>
      <c r="C11" s="2" t="s">
        <v>7</v>
      </c>
      <c r="D11" s="3">
        <v>12132</v>
      </c>
      <c r="E11" s="22">
        <v>3246</v>
      </c>
      <c r="F11" s="2">
        <v>77</v>
      </c>
      <c r="G11" s="23">
        <f t="shared" si="3"/>
        <v>2.3721503388786199E-2</v>
      </c>
      <c r="H11" s="11">
        <f t="shared" si="4"/>
        <v>0.59964412811387902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J5" sqref="J5"/>
    </sheetView>
  </sheetViews>
  <sheetFormatPr defaultRowHeight="15" x14ac:dyDescent="0.25"/>
  <cols>
    <col min="1" max="1" width="11.5703125" customWidth="1"/>
    <col min="2" max="3" width="10.5703125" customWidth="1"/>
    <col min="4" max="4" width="11.85546875" customWidth="1"/>
    <col min="5" max="5" width="9.140625" customWidth="1"/>
  </cols>
  <sheetData>
    <row r="1" spans="1:5" ht="19.5" thickBot="1" x14ac:dyDescent="0.35">
      <c r="A1" s="10" t="s">
        <v>31</v>
      </c>
    </row>
    <row r="2" spans="1:5" ht="45.75" thickBot="1" x14ac:dyDescent="0.3">
      <c r="A2" s="1" t="s">
        <v>26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.75" thickBot="1" x14ac:dyDescent="0.3">
      <c r="A3" s="1" t="s">
        <v>27</v>
      </c>
      <c r="B3" s="7">
        <v>15156</v>
      </c>
      <c r="C3" s="19">
        <v>2227</v>
      </c>
      <c r="D3" s="21">
        <v>1490</v>
      </c>
      <c r="E3" s="8">
        <f>D3/C3</f>
        <v>0.66906151773686573</v>
      </c>
    </row>
    <row r="4" spans="1:5" ht="15.75" thickBot="1" x14ac:dyDescent="0.3">
      <c r="A4" s="1" t="s">
        <v>28</v>
      </c>
      <c r="B4" s="7">
        <v>15732</v>
      </c>
      <c r="C4" s="19">
        <v>2418</v>
      </c>
      <c r="D4" s="21">
        <v>1385</v>
      </c>
      <c r="E4" s="8">
        <f t="shared" ref="E4:E6" si="0">D4/C4</f>
        <v>0.57278742762613732</v>
      </c>
    </row>
    <row r="5" spans="1:5" ht="30.75" thickBot="1" x14ac:dyDescent="0.3">
      <c r="A5" s="1" t="s">
        <v>29</v>
      </c>
      <c r="B5" s="7">
        <v>12528</v>
      </c>
      <c r="C5" s="21" t="s">
        <v>8</v>
      </c>
      <c r="D5" s="21" t="s">
        <v>8</v>
      </c>
      <c r="E5" s="8" t="e">
        <f t="shared" si="0"/>
        <v>#VALUE!</v>
      </c>
    </row>
    <row r="6" spans="1:5" ht="15.75" thickBot="1" x14ac:dyDescent="0.3">
      <c r="A6" s="1" t="s">
        <v>30</v>
      </c>
      <c r="B6" s="7">
        <v>11520</v>
      </c>
      <c r="C6" s="19">
        <v>1697</v>
      </c>
      <c r="D6" s="21">
        <v>1333</v>
      </c>
      <c r="E6" s="8">
        <f t="shared" si="0"/>
        <v>0.78550383028874482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Spiral Data on Actual Run</vt:lpstr>
      <vt:lpstr>Sensitivity Analysis Spiral 1</vt:lpstr>
      <vt:lpstr>Sensitivity Analysis Spiral 5</vt:lpstr>
      <vt:lpstr>Feed Flow Distribution Spiral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Fahad</dc:creator>
  <cp:lastModifiedBy>Admin</cp:lastModifiedBy>
  <dcterms:created xsi:type="dcterms:W3CDTF">2026-03-10T18:15:56Z</dcterms:created>
  <dcterms:modified xsi:type="dcterms:W3CDTF">2026-03-24T07:28:00Z</dcterms:modified>
</cp:coreProperties>
</file>