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spiral analysis attock\"/>
    </mc:Choice>
  </mc:AlternateContent>
  <xr:revisionPtr revIDLastSave="0" documentId="13_ncr:1_{EF96B5F6-D848-4FBC-8C8A-A88B9050CF66}" xr6:coauthVersionLast="47" xr6:coauthVersionMax="47" xr10:uidLastSave="{00000000-0000-0000-0000-000000000000}"/>
  <bookViews>
    <workbookView xWindow="-120" yWindow="-120" windowWidth="20730" windowHeight="11040" xr2:uid="{1CA04521-7E56-45B0-A45A-9577BD28DB7F}"/>
  </bookViews>
  <sheets>
    <sheet name="Sensitivity Analysis Spiral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<sst xmlns="http://schemas.openxmlformats.org/spreadsheetml/2006/main" count="44" uniqueCount="20">
  <si>
    <t>Sensitivity Analysis of Spiral 1</t>
  </si>
  <si>
    <t>Condition</t>
  </si>
  <si>
    <t>Product Type</t>
  </si>
  <si>
    <t>Flowrate (L/hr)</t>
  </si>
  <si>
    <t>Slurry Weight (g)</t>
  </si>
  <si>
    <t>Dry Solid Weight (g)</t>
  </si>
  <si>
    <t>% Solid</t>
  </si>
  <si>
    <t>Flowrate based Yield %</t>
  </si>
  <si>
    <t>Lowest Solid % &amp; Mid Splitter</t>
  </si>
  <si>
    <t>Concentrate</t>
  </si>
  <si>
    <t>Tailings</t>
  </si>
  <si>
    <t>Middling</t>
  </si>
  <si>
    <t>Lowest Solid % &amp; Narrow Splitter</t>
  </si>
  <si>
    <t>Lowest Solid % &amp; Open Splitter</t>
  </si>
  <si>
    <t>Highest Solid % &amp; Narrow Splitter</t>
  </si>
  <si>
    <t>Highest Solid % &amp; Open Splitter</t>
  </si>
  <si>
    <t>Highest Solid % &amp; Mid Splitter</t>
  </si>
  <si>
    <t>Mid Solid % &amp; Mid Splitter</t>
  </si>
  <si>
    <t>Mid Solid % &amp; Narrow Splitter</t>
  </si>
  <si>
    <t>Mid Solid % &amp; Open Splitter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</si>
</sst>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4" tint="-0.249977111117893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10" fontId="3" fillId="0" borderId="1" xfId="0" applyNumberFormat="1" applyFont="1" applyBorder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572-F7E5-48CD-98A5-32CA82F876C3}">
  <dimension ref="A1:G30"/>
  <sheetViews>
    <sheetView tabSelected="1" topLeftCell="A3" zoomScale="59" zoomScaleNormal="59" workbookViewId="0">
      <selection activeCell="M27" sqref="M27"/>
    </sheetView>
  </sheetViews>
  <sheetFormatPr defaultRowHeight="15" x14ac:dyDescent="0.25"/>
  <cols>
    <col min="1" max="1" width="27.42578125" customWidth="1"/>
    <col min="2" max="2" width="15" customWidth="1"/>
    <col min="3" max="3" width="13.7109375" customWidth="1"/>
    <col min="4" max="4" width="15.85546875" customWidth="1"/>
    <col min="5" max="5" width="14.5703125" customWidth="1"/>
    <col min="6" max="6" width="13" customWidth="1"/>
    <col min="7" max="7" width="17.42578125" customWidth="1"/>
  </cols>
  <sheetData>
    <row r="1" spans="1:7" ht="19.5" thickBot="1" x14ac:dyDescent="0.35">
      <c r="A1" s="1" t="s">
        <v>0</v>
      </c>
    </row>
    <row r="2" spans="1:7" ht="30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30.75" thickBot="1" x14ac:dyDescent="0.3">
      <c r="A3" s="2" t="s">
        <v>8</v>
      </c>
      <c r="B3" s="3" t="s">
        <v>9</v>
      </c>
      <c r="C3" s="4">
        <v>3132</v>
      </c>
      <c r="D3" s="4">
        <v>1027</v>
      </c>
      <c r="E3" s="3">
        <v>267</v>
      </c>
      <c r="F3" s="5">
        <f>E3/D3</f>
        <v>0.2599805258033106</v>
      </c>
      <c r="G3" s="5">
        <f>C3/12924</f>
        <v>0.24233983286908078</v>
      </c>
    </row>
    <row r="4" spans="1:7" ht="15.75" thickBot="1" x14ac:dyDescent="0.3">
      <c r="A4" s="2"/>
      <c r="B4" s="3" t="s">
        <v>10</v>
      </c>
      <c r="C4" s="4">
        <v>6588</v>
      </c>
      <c r="D4" s="4">
        <v>1454</v>
      </c>
      <c r="E4" s="3">
        <v>147</v>
      </c>
      <c r="F4" s="5">
        <f t="shared" ref="F4:F29" si="0">E4/D4</f>
        <v>0.10110041265474554</v>
      </c>
      <c r="G4" s="5">
        <f t="shared" ref="G4:G5" si="1">C4/12924</f>
        <v>0.50974930362116988</v>
      </c>
    </row>
    <row r="5" spans="1:7" ht="15.75" thickBot="1" x14ac:dyDescent="0.3">
      <c r="A5" s="2"/>
      <c r="B5" s="3" t="s">
        <v>11</v>
      </c>
      <c r="C5" s="4">
        <v>3204</v>
      </c>
      <c r="D5" s="4">
        <v>1119</v>
      </c>
      <c r="E5" s="3">
        <v>188</v>
      </c>
      <c r="F5" s="5">
        <f t="shared" si="0"/>
        <v>0.1680071492403932</v>
      </c>
      <c r="G5" s="5">
        <f t="shared" si="1"/>
        <v>0.24791086350974931</v>
      </c>
    </row>
    <row r="6" spans="1:7" ht="30.75" thickBot="1" x14ac:dyDescent="0.3">
      <c r="A6" s="2" t="s">
        <v>12</v>
      </c>
      <c r="B6" s="3" t="s">
        <v>9</v>
      </c>
      <c r="C6" s="4">
        <v>2448</v>
      </c>
      <c r="D6" s="4">
        <v>901</v>
      </c>
      <c r="E6" s="3">
        <v>80</v>
      </c>
      <c r="F6" s="5">
        <f t="shared" si="0"/>
        <v>8.8790233074361818E-2</v>
      </c>
      <c r="G6" s="5">
        <f>C6/13212</f>
        <v>0.18528610354223432</v>
      </c>
    </row>
    <row r="7" spans="1:7" ht="15.75" thickBot="1" x14ac:dyDescent="0.3">
      <c r="A7" s="2"/>
      <c r="B7" s="3" t="s">
        <v>10</v>
      </c>
      <c r="C7" s="4">
        <v>6804</v>
      </c>
      <c r="D7" s="4">
        <v>2485</v>
      </c>
      <c r="E7" s="3">
        <v>106</v>
      </c>
      <c r="F7" s="5">
        <f t="shared" si="0"/>
        <v>4.265593561368209E-2</v>
      </c>
      <c r="G7" s="5">
        <f t="shared" ref="G7:G8" si="2">C7/13212</f>
        <v>0.51498637602179842</v>
      </c>
    </row>
    <row r="8" spans="1:7" ht="15.75" thickBot="1" x14ac:dyDescent="0.3">
      <c r="A8" s="2"/>
      <c r="B8" s="3" t="s">
        <v>11</v>
      </c>
      <c r="C8" s="4">
        <v>3960</v>
      </c>
      <c r="D8" s="4">
        <v>1232</v>
      </c>
      <c r="E8" s="3">
        <v>257</v>
      </c>
      <c r="F8" s="5">
        <f t="shared" si="0"/>
        <v>0.2086038961038961</v>
      </c>
      <c r="G8" s="5">
        <f t="shared" si="2"/>
        <v>0.29972752043596729</v>
      </c>
    </row>
    <row r="9" spans="1:7" ht="30.75" thickBot="1" x14ac:dyDescent="0.3">
      <c r="A9" s="2" t="s">
        <v>13</v>
      </c>
      <c r="B9" s="3" t="s">
        <v>9</v>
      </c>
      <c r="C9" s="4">
        <v>2820</v>
      </c>
      <c r="D9" s="4">
        <v>1559</v>
      </c>
      <c r="E9" s="3">
        <v>507</v>
      </c>
      <c r="F9" s="5">
        <f t="shared" si="0"/>
        <v>0.32520846696600386</v>
      </c>
      <c r="G9" s="5">
        <f>C9/12072</f>
        <v>0.23359840954274355</v>
      </c>
    </row>
    <row r="10" spans="1:7" ht="15.75" thickBot="1" x14ac:dyDescent="0.3">
      <c r="A10" s="2"/>
      <c r="B10" s="3" t="s">
        <v>10</v>
      </c>
      <c r="C10" s="4">
        <v>6552</v>
      </c>
      <c r="D10" s="4">
        <v>1241</v>
      </c>
      <c r="E10" s="3">
        <v>72</v>
      </c>
      <c r="F10" s="5">
        <f t="shared" si="0"/>
        <v>5.8017727639000809E-2</v>
      </c>
      <c r="G10" s="5">
        <f t="shared" ref="G10:G11" si="3">C10/12072</f>
        <v>0.54274353876739567</v>
      </c>
    </row>
    <row r="11" spans="1:7" ht="15.75" thickBot="1" x14ac:dyDescent="0.3">
      <c r="A11" s="2"/>
      <c r="B11" s="3" t="s">
        <v>11</v>
      </c>
      <c r="C11" s="4">
        <v>2700</v>
      </c>
      <c r="D11" s="4">
        <v>1139</v>
      </c>
      <c r="E11" s="3">
        <v>103</v>
      </c>
      <c r="F11" s="5">
        <f t="shared" si="0"/>
        <v>9.0430201931518878E-2</v>
      </c>
      <c r="G11" s="5">
        <f t="shared" si="3"/>
        <v>0.22365805168986083</v>
      </c>
    </row>
    <row r="12" spans="1:7" ht="30.75" thickBot="1" x14ac:dyDescent="0.3">
      <c r="A12" s="2" t="s">
        <v>16</v>
      </c>
      <c r="B12" s="3" t="s">
        <v>9</v>
      </c>
      <c r="C12" s="4">
        <v>3132</v>
      </c>
      <c r="D12" s="4">
        <v>1603</v>
      </c>
      <c r="E12" s="3">
        <v>364</v>
      </c>
      <c r="F12" s="5">
        <f t="shared" si="0"/>
        <v>0.22707423580786026</v>
      </c>
      <c r="G12" s="5">
        <f>C12/9372</f>
        <v>0.33418693982074266</v>
      </c>
    </row>
    <row r="13" spans="1:7" ht="15.75" thickBot="1" x14ac:dyDescent="0.3">
      <c r="A13" s="2"/>
      <c r="B13" s="3" t="s">
        <v>10</v>
      </c>
      <c r="C13" s="4">
        <v>4200</v>
      </c>
      <c r="D13" s="4">
        <v>1476</v>
      </c>
      <c r="E13" s="3">
        <v>89</v>
      </c>
      <c r="F13" s="5">
        <f t="shared" si="0"/>
        <v>6.0298102981029812E-2</v>
      </c>
      <c r="G13" s="5">
        <f t="shared" ref="G13:G14" si="4">C13/9372</f>
        <v>0.44814340588988477</v>
      </c>
    </row>
    <row r="14" spans="1:7" ht="15.75" thickBot="1" x14ac:dyDescent="0.3">
      <c r="A14" s="2"/>
      <c r="B14" s="3" t="s">
        <v>11</v>
      </c>
      <c r="C14" s="4">
        <v>2040</v>
      </c>
      <c r="D14" s="4">
        <v>1066</v>
      </c>
      <c r="E14" s="3">
        <v>157</v>
      </c>
      <c r="F14" s="5">
        <f t="shared" si="0"/>
        <v>0.1472795497185741</v>
      </c>
      <c r="G14" s="5">
        <f t="shared" si="4"/>
        <v>0.2176696542893726</v>
      </c>
    </row>
    <row r="15" spans="1:7" ht="30.75" thickBot="1" x14ac:dyDescent="0.3">
      <c r="A15" s="2" t="s">
        <v>14</v>
      </c>
      <c r="B15" s="3" t="s">
        <v>9</v>
      </c>
      <c r="C15" s="4">
        <v>3612</v>
      </c>
      <c r="D15" s="4">
        <v>1267</v>
      </c>
      <c r="E15" s="3">
        <v>93</v>
      </c>
      <c r="F15" s="5">
        <f t="shared" si="0"/>
        <v>7.34017363851618E-2</v>
      </c>
      <c r="G15" s="5">
        <f>C15/8634</f>
        <v>0.41834607366226545</v>
      </c>
    </row>
    <row r="16" spans="1:7" ht="15.75" thickBot="1" x14ac:dyDescent="0.3">
      <c r="A16" s="2"/>
      <c r="B16" s="3" t="s">
        <v>10</v>
      </c>
      <c r="C16" s="4">
        <v>1896</v>
      </c>
      <c r="D16" s="4">
        <v>1583</v>
      </c>
      <c r="E16" s="3">
        <v>80</v>
      </c>
      <c r="F16" s="5">
        <f t="shared" si="0"/>
        <v>5.0536955148452307E-2</v>
      </c>
      <c r="G16" s="5">
        <f t="shared" ref="G16:G17" si="5">C16/8634</f>
        <v>0.21959694232105628</v>
      </c>
    </row>
    <row r="17" spans="1:7" ht="15.75" thickBot="1" x14ac:dyDescent="0.3">
      <c r="A17" s="2"/>
      <c r="B17" s="3" t="s">
        <v>11</v>
      </c>
      <c r="C17" s="4">
        <v>3126</v>
      </c>
      <c r="D17" s="4">
        <v>1628</v>
      </c>
      <c r="E17" s="3">
        <v>388</v>
      </c>
      <c r="F17" s="5">
        <f t="shared" si="0"/>
        <v>0.23832923832923833</v>
      </c>
      <c r="G17" s="5">
        <f t="shared" si="5"/>
        <v>0.36205698401667824</v>
      </c>
    </row>
    <row r="18" spans="1:7" ht="30.75" thickBot="1" x14ac:dyDescent="0.3">
      <c r="A18" s="2" t="s">
        <v>15</v>
      </c>
      <c r="B18" s="3" t="s">
        <v>9</v>
      </c>
      <c r="C18" s="4">
        <v>2100</v>
      </c>
      <c r="D18" s="4">
        <v>1890</v>
      </c>
      <c r="E18" s="3">
        <v>396</v>
      </c>
      <c r="F18" s="5">
        <f t="shared" si="0"/>
        <v>0.20952380952380953</v>
      </c>
      <c r="G18" s="5">
        <f>C18/9876</f>
        <v>0.21263669501822599</v>
      </c>
    </row>
    <row r="19" spans="1:7" ht="15.75" thickBot="1" x14ac:dyDescent="0.3">
      <c r="A19" s="2"/>
      <c r="B19" s="3" t="s">
        <v>10</v>
      </c>
      <c r="C19" s="4">
        <v>5040</v>
      </c>
      <c r="D19" s="4">
        <v>2159</v>
      </c>
      <c r="E19" s="3">
        <v>134</v>
      </c>
      <c r="F19" s="5">
        <f t="shared" si="0"/>
        <v>6.2065771190365909E-2</v>
      </c>
      <c r="G19" s="5">
        <f t="shared" ref="G19:G20" si="6">C19/9876</f>
        <v>0.51032806804374242</v>
      </c>
    </row>
    <row r="20" spans="1:7" ht="15.75" thickBot="1" x14ac:dyDescent="0.3">
      <c r="A20" s="2"/>
      <c r="B20" s="3" t="s">
        <v>11</v>
      </c>
      <c r="C20" s="4">
        <v>2736</v>
      </c>
      <c r="D20" s="4">
        <v>1118</v>
      </c>
      <c r="E20" s="3">
        <v>95</v>
      </c>
      <c r="F20" s="5">
        <f t="shared" si="0"/>
        <v>8.4973166368515207E-2</v>
      </c>
      <c r="G20" s="5">
        <f t="shared" si="6"/>
        <v>0.27703523693803161</v>
      </c>
    </row>
    <row r="21" spans="1:7" ht="30.75" thickBot="1" x14ac:dyDescent="0.3">
      <c r="A21" s="2" t="s">
        <v>17</v>
      </c>
      <c r="B21" s="3" t="s">
        <v>9</v>
      </c>
      <c r="C21" s="4">
        <v>2508</v>
      </c>
      <c r="D21" s="4">
        <v>2244</v>
      </c>
      <c r="E21" s="3">
        <v>551</v>
      </c>
      <c r="F21" s="5">
        <f t="shared" si="0"/>
        <v>0.24554367201426025</v>
      </c>
      <c r="G21" s="5">
        <f>C21/10116</f>
        <v>0.24792408066429419</v>
      </c>
    </row>
    <row r="22" spans="1:7" ht="15.75" thickBot="1" x14ac:dyDescent="0.3">
      <c r="A22" s="2"/>
      <c r="B22" s="3" t="s">
        <v>10</v>
      </c>
      <c r="C22" s="4">
        <v>3276</v>
      </c>
      <c r="D22" s="4">
        <v>2045</v>
      </c>
      <c r="E22" s="3">
        <v>79</v>
      </c>
      <c r="F22" s="5">
        <f t="shared" si="0"/>
        <v>3.8630806845965773E-2</v>
      </c>
      <c r="G22" s="5">
        <f t="shared" ref="G22:G23" si="7">C22/10116</f>
        <v>0.32384341637010677</v>
      </c>
    </row>
    <row r="23" spans="1:7" ht="15.75" thickBot="1" x14ac:dyDescent="0.3">
      <c r="A23" s="2"/>
      <c r="B23" s="3" t="s">
        <v>11</v>
      </c>
      <c r="C23" s="4">
        <v>4332</v>
      </c>
      <c r="D23" s="4">
        <v>1296</v>
      </c>
      <c r="E23" s="3">
        <v>223</v>
      </c>
      <c r="F23" s="5">
        <f t="shared" si="0"/>
        <v>0.17206790123456789</v>
      </c>
      <c r="G23" s="5">
        <f t="shared" si="7"/>
        <v>0.42823250296559906</v>
      </c>
    </row>
    <row r="24" spans="1:7" ht="30.75" thickBot="1" x14ac:dyDescent="0.3">
      <c r="A24" s="2" t="s">
        <v>18</v>
      </c>
      <c r="B24" s="3" t="s">
        <v>9</v>
      </c>
      <c r="C24" s="4">
        <v>2268</v>
      </c>
      <c r="D24" s="4">
        <v>1742</v>
      </c>
      <c r="E24" s="3">
        <v>445</v>
      </c>
      <c r="F24" s="5">
        <f t="shared" si="0"/>
        <v>0.25545350172215842</v>
      </c>
      <c r="G24" s="5">
        <f>C24/9480</f>
        <v>0.23924050632911392</v>
      </c>
    </row>
    <row r="25" spans="1:7" ht="15.75" thickBot="1" x14ac:dyDescent="0.3">
      <c r="A25" s="2"/>
      <c r="B25" s="3" t="s">
        <v>10</v>
      </c>
      <c r="C25" s="4">
        <v>2700</v>
      </c>
      <c r="D25" s="4">
        <v>1239</v>
      </c>
      <c r="E25" s="3">
        <v>64</v>
      </c>
      <c r="F25" s="5">
        <f t="shared" si="0"/>
        <v>5.1654560129136398E-2</v>
      </c>
      <c r="G25" s="5">
        <f t="shared" ref="G25:G26" si="8">C25/9480</f>
        <v>0.2848101265822785</v>
      </c>
    </row>
    <row r="26" spans="1:7" ht="15.75" thickBot="1" x14ac:dyDescent="0.3">
      <c r="A26" s="2"/>
      <c r="B26" s="3" t="s">
        <v>11</v>
      </c>
      <c r="C26" s="4">
        <v>4512</v>
      </c>
      <c r="D26" s="4">
        <v>1658</v>
      </c>
      <c r="E26" s="3">
        <v>508</v>
      </c>
      <c r="F26" s="5">
        <f t="shared" si="0"/>
        <v>0.30639324487334135</v>
      </c>
      <c r="G26" s="5">
        <f t="shared" si="8"/>
        <v>0.47594936708860758</v>
      </c>
    </row>
    <row r="27" spans="1:7" ht="30.75" thickBot="1" x14ac:dyDescent="0.3">
      <c r="A27" s="2" t="s">
        <v>19</v>
      </c>
      <c r="B27" s="3" t="s">
        <v>9</v>
      </c>
      <c r="C27" s="4">
        <v>14928</v>
      </c>
      <c r="D27" s="4">
        <v>2192</v>
      </c>
      <c r="E27" s="3">
        <v>555</v>
      </c>
      <c r="F27" s="5">
        <f t="shared" si="0"/>
        <v>0.25319343065693428</v>
      </c>
      <c r="G27" s="5">
        <f>C27/43692</f>
        <v>0.34166437791815435</v>
      </c>
    </row>
    <row r="28" spans="1:7" ht="15.75" thickBot="1" x14ac:dyDescent="0.3">
      <c r="A28" s="2"/>
      <c r="B28" s="3" t="s">
        <v>10</v>
      </c>
      <c r="C28" s="4">
        <v>6768</v>
      </c>
      <c r="D28" s="4">
        <v>2056</v>
      </c>
      <c r="E28" s="3">
        <v>100</v>
      </c>
      <c r="F28" s="5">
        <f t="shared" si="0"/>
        <v>4.8638132295719845E-2</v>
      </c>
      <c r="G28" s="5">
        <f t="shared" ref="G28:G29" si="9">C28/43692</f>
        <v>0.15490249931337544</v>
      </c>
    </row>
    <row r="29" spans="1:7" ht="15.75" thickBot="1" x14ac:dyDescent="0.3">
      <c r="A29" s="2"/>
      <c r="B29" s="3" t="s">
        <v>11</v>
      </c>
      <c r="C29" s="4">
        <v>21996</v>
      </c>
      <c r="D29" s="4">
        <v>1219</v>
      </c>
      <c r="E29" s="3">
        <v>112</v>
      </c>
      <c r="F29" s="5">
        <f t="shared" si="0"/>
        <v>9.1878589007383105E-2</v>
      </c>
      <c r="G29" s="5">
        <f t="shared" si="9"/>
        <v>0.50343312276847019</v>
      </c>
    </row>
    <row r="30" spans="1:7" x14ac:dyDescent="0.25">
      <c r="A30" s="6"/>
      <c r="B30" s="6"/>
      <c r="C30" s="6"/>
      <c r="D30" s="6"/>
      <c r="E30" s="6"/>
      <c r="F30" s="6"/>
      <c r="G3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Sensitivity Analysis Spiral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2026-03-22T05:36:17Z</dcterms:created>
  <dcterms:modified xsi:type="dcterms:W3CDTF">2026-03-22T07:01:39Z</dcterms:modified>
</cp:coreProperties>
</file>