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cleaner shaking table\"/>
    </mc:Choice>
  </mc:AlternateContent>
  <xr:revisionPtr revIDLastSave="0" documentId="13_ncr:1_{2BD6731A-1778-4396-89BE-604BFFF50DBC}" xr6:coauthVersionLast="47" xr6:coauthVersionMax="47" xr10:uidLastSave="{00000000-0000-0000-0000-000000000000}"/>
  <bookViews>
    <workbookView xWindow="-120" yWindow="-120" windowWidth="20730" windowHeight="11040" xr2:uid="{23D6A97B-0C0D-450E-A12A-BA684E00BC6F}"/>
  </bookViews>
  <sheets>
    <sheet name="Clean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1" l="1"/>
  <c r="P13" i="1"/>
  <c r="O13" i="1"/>
  <c r="N13" i="1"/>
  <c r="M13" i="1"/>
  <c r="L13" i="1"/>
  <c r="Q12" i="1"/>
  <c r="P12" i="1"/>
  <c r="O12" i="1"/>
  <c r="N12" i="1"/>
  <c r="M12" i="1"/>
  <c r="L12" i="1"/>
  <c r="Q11" i="1"/>
  <c r="P11" i="1"/>
  <c r="O11" i="1"/>
  <c r="N11" i="1"/>
  <c r="M11" i="1"/>
  <c r="L11" i="1"/>
  <c r="Q10" i="1"/>
  <c r="P10" i="1"/>
  <c r="O10" i="1"/>
  <c r="N10" i="1"/>
  <c r="M10" i="1"/>
  <c r="L10" i="1"/>
  <c r="Q9" i="1"/>
  <c r="P9" i="1"/>
  <c r="O9" i="1"/>
  <c r="N9" i="1"/>
  <c r="M9" i="1"/>
  <c r="L9" i="1"/>
  <c r="Q8" i="1"/>
  <c r="P8" i="1"/>
  <c r="O8" i="1"/>
  <c r="N8" i="1"/>
  <c r="M8" i="1"/>
  <c r="L8" i="1"/>
  <c r="Q7" i="1"/>
  <c r="P7" i="1"/>
  <c r="O7" i="1"/>
  <c r="N7" i="1"/>
  <c r="M7" i="1"/>
  <c r="L7" i="1"/>
  <c r="Q6" i="1"/>
  <c r="P6" i="1"/>
  <c r="O6" i="1"/>
  <c r="N6" i="1"/>
  <c r="M6" i="1"/>
  <c r="L6" i="1"/>
  <c r="Q5" i="1"/>
  <c r="P5" i="1"/>
  <c r="O5" i="1"/>
  <c r="N5" i="1"/>
  <c r="M5" i="1"/>
  <c r="L5" i="1"/>
</calcChain>
</file>

<file path=xl/sharedStrings.xml><?xml version="1.0" encoding="utf-8"?>
<sst xmlns="http://schemas.openxmlformats.org/spreadsheetml/2006/main" count="17" uniqueCount="17">
  <si>
    <t>Flow rate of concentrate (L/sec) slurry</t>
  </si>
  <si>
    <t>Flow rate of midling (L/sec) slurry</t>
  </si>
  <si>
    <t>flow rate of tailing (L/sec) Slurry</t>
  </si>
  <si>
    <t>weight of concentate (kg) slurry</t>
  </si>
  <si>
    <t>weight of midling (kg) slurry</t>
  </si>
  <si>
    <t>weight of tailing (kg) slurry</t>
  </si>
  <si>
    <t xml:space="preserve">weight of concentrate (kg) dry </t>
  </si>
  <si>
    <t>weight of midling (kg) dry</t>
  </si>
  <si>
    <t>weight of tailing (kg) dry</t>
  </si>
  <si>
    <t>Slope (degree)</t>
  </si>
  <si>
    <t>Wash water flow (L/Sec)</t>
  </si>
  <si>
    <t xml:space="preserve">Solid % Concentrate </t>
  </si>
  <si>
    <t>Solid % Midling</t>
  </si>
  <si>
    <t>Solid% Tailing</t>
  </si>
  <si>
    <t>Yield % Concentrate slurry</t>
  </si>
  <si>
    <t>Yield % Midling Slurry</t>
  </si>
  <si>
    <t>Yield % Tailing slurry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</si>
</sst>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6811-A60A-4742-992A-51B443711C1A}">
  <dimension ref="A1:Q17"/>
  <sheetViews>
    <sheetView tabSelected="1" zoomScale="55" zoomScaleNormal="55" workbookViewId="0">
      <selection activeCell="G30" sqref="G30"/>
    </sheetView>
  </sheetViews>
  <sheetFormatPr defaultRowHeight="15" x14ac:dyDescent="0.25"/>
  <cols>
    <col min="1" max="1" width="26.42578125" customWidth="1"/>
    <col min="2" max="2" width="19.28515625" customWidth="1"/>
    <col min="3" max="3" width="18" customWidth="1"/>
    <col min="4" max="4" width="21" customWidth="1"/>
    <col min="5" max="5" width="18.42578125" customWidth="1"/>
    <col min="6" max="6" width="20" customWidth="1"/>
    <col min="7" max="7" width="21.42578125" customWidth="1"/>
    <col min="8" max="8" width="16.85546875" customWidth="1"/>
    <col min="9" max="9" width="16" customWidth="1"/>
    <col min="10" max="10" width="12.42578125" customWidth="1"/>
    <col min="11" max="11" width="16.5703125" customWidth="1"/>
    <col min="12" max="12" width="15" customWidth="1"/>
    <col min="13" max="13" width="11" customWidth="1"/>
    <col min="15" max="15" width="20.5703125" customWidth="1"/>
    <col min="16" max="16" width="17.140625" customWidth="1"/>
    <col min="17" max="17" width="14.28515625" customWidth="1"/>
  </cols>
  <sheetData>
    <row r="1" spans="1:17" ht="5.25" customHeight="1" x14ac:dyDescent="0.25">
      <c r="L1" s="1"/>
      <c r="M1" s="1"/>
      <c r="N1" s="1"/>
      <c r="O1" s="1"/>
      <c r="P1" s="1"/>
      <c r="Q1" s="1"/>
    </row>
    <row r="2" spans="1:17" ht="9.75" hidden="1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ht="15" hidden="1" customHeight="1" x14ac:dyDescent="0.25">
      <c r="A3" s="2"/>
      <c r="B3" s="2"/>
      <c r="C3" s="2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</row>
    <row r="4" spans="1:17" ht="80.099999999999994" customHeight="1" x14ac:dyDescent="0.25">
      <c r="A4" s="2"/>
      <c r="B4" s="2"/>
      <c r="C4" s="2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2"/>
      <c r="P4" s="2"/>
      <c r="Q4" s="2"/>
    </row>
    <row r="5" spans="1:17" x14ac:dyDescent="0.25">
      <c r="A5">
        <v>1.4200000000000001E-2</v>
      </c>
      <c r="B5">
        <v>2.1399999999999999E-2</v>
      </c>
      <c r="C5">
        <v>0.94</v>
      </c>
      <c r="D5">
        <v>0.51200000000000001</v>
      </c>
      <c r="E5">
        <v>1.4119999999999999</v>
      </c>
      <c r="F5">
        <v>9.1999999999999993</v>
      </c>
      <c r="G5">
        <v>0.04</v>
      </c>
      <c r="H5">
        <v>0.23899999999999999</v>
      </c>
      <c r="I5">
        <v>2E-3</v>
      </c>
      <c r="J5">
        <v>2</v>
      </c>
      <c r="K5">
        <v>0.56799999999999995</v>
      </c>
      <c r="L5" s="1">
        <f t="shared" ref="L5:N13" si="0">G5/D5</f>
        <v>7.8125E-2</v>
      </c>
      <c r="M5" s="1">
        <f t="shared" si="0"/>
        <v>0.16926345609065155</v>
      </c>
      <c r="N5" s="1">
        <f t="shared" si="0"/>
        <v>2.173913043478261E-4</v>
      </c>
      <c r="O5" s="1">
        <f t="shared" ref="O5:O13" si="1">A5/(A5+B5+C5)</f>
        <v>1.4555145551455517E-2</v>
      </c>
      <c r="P5" s="1">
        <f t="shared" ref="P5:P13" si="2">B5/(A5+B5+C5)</f>
        <v>2.1935219352193523E-2</v>
      </c>
      <c r="Q5" s="1">
        <f t="shared" ref="Q5:Q13" si="3">C5/(A5+B5+C5)</f>
        <v>0.96350963509635101</v>
      </c>
    </row>
    <row r="6" spans="1:17" x14ac:dyDescent="0.25">
      <c r="A6">
        <v>0.04</v>
      </c>
      <c r="B6">
        <v>0.02</v>
      </c>
      <c r="C6">
        <v>1.34</v>
      </c>
      <c r="D6">
        <v>1.212</v>
      </c>
      <c r="E6">
        <v>2.1120000000000001</v>
      </c>
      <c r="F6">
        <v>4.7</v>
      </c>
      <c r="G6">
        <v>1.4E-2</v>
      </c>
      <c r="H6">
        <v>0.156</v>
      </c>
      <c r="I6">
        <v>9.4E-2</v>
      </c>
      <c r="J6">
        <v>2</v>
      </c>
      <c r="K6">
        <v>1.33</v>
      </c>
      <c r="L6" s="1">
        <f t="shared" si="0"/>
        <v>1.1551155115511552E-2</v>
      </c>
      <c r="M6" s="1">
        <f t="shared" si="0"/>
        <v>7.3863636363636354E-2</v>
      </c>
      <c r="N6" s="1">
        <f t="shared" si="0"/>
        <v>0.02</v>
      </c>
      <c r="O6" s="1">
        <f t="shared" si="1"/>
        <v>2.8571428571428571E-2</v>
      </c>
      <c r="P6" s="1">
        <f t="shared" si="2"/>
        <v>1.4285714285714285E-2</v>
      </c>
      <c r="Q6" s="1">
        <f t="shared" si="3"/>
        <v>0.95714285714285707</v>
      </c>
    </row>
    <row r="7" spans="1:17" x14ac:dyDescent="0.25">
      <c r="A7">
        <v>0.02</v>
      </c>
      <c r="B7">
        <v>0.08</v>
      </c>
      <c r="C7">
        <v>0.88</v>
      </c>
      <c r="D7">
        <v>0.51200000000000001</v>
      </c>
      <c r="E7">
        <v>2.1120000000000001</v>
      </c>
      <c r="F7">
        <v>7.7</v>
      </c>
      <c r="G7">
        <v>1.7000000000000001E-2</v>
      </c>
      <c r="H7">
        <v>0.14000000000000001</v>
      </c>
      <c r="I7">
        <v>3.0000000000000001E-3</v>
      </c>
      <c r="J7">
        <v>3.6</v>
      </c>
      <c r="K7">
        <v>0.56799999999999995</v>
      </c>
      <c r="L7" s="1">
        <f t="shared" si="0"/>
        <v>3.3203125E-2</v>
      </c>
      <c r="M7" s="1">
        <f t="shared" si="0"/>
        <v>6.6287878787878785E-2</v>
      </c>
      <c r="N7" s="1">
        <f t="shared" si="0"/>
        <v>3.8961038961038961E-4</v>
      </c>
      <c r="O7" s="1">
        <f t="shared" si="1"/>
        <v>2.0408163265306124E-2</v>
      </c>
      <c r="P7" s="1">
        <f t="shared" si="2"/>
        <v>8.1632653061224497E-2</v>
      </c>
      <c r="Q7" s="1">
        <f t="shared" si="3"/>
        <v>0.89795918367346939</v>
      </c>
    </row>
    <row r="8" spans="1:17" x14ac:dyDescent="0.25">
      <c r="A8">
        <v>2.5000000000000001E-2</v>
      </c>
      <c r="B8">
        <v>0.2</v>
      </c>
      <c r="C8">
        <v>1.36</v>
      </c>
      <c r="D8">
        <v>0.61199999999999999</v>
      </c>
      <c r="E8">
        <v>2.82</v>
      </c>
      <c r="F8">
        <v>12.3</v>
      </c>
      <c r="G8">
        <v>1.4999999999999999E-2</v>
      </c>
      <c r="H8">
        <v>0.107</v>
      </c>
      <c r="I8">
        <v>7.0000000000000001E-3</v>
      </c>
      <c r="J8">
        <v>3.6</v>
      </c>
      <c r="K8">
        <v>0.85</v>
      </c>
      <c r="L8" s="1">
        <f t="shared" si="0"/>
        <v>2.4509803921568627E-2</v>
      </c>
      <c r="M8" s="1">
        <f t="shared" si="0"/>
        <v>3.7943262411347517E-2</v>
      </c>
      <c r="N8" s="1">
        <f t="shared" si="0"/>
        <v>5.6910569105691057E-4</v>
      </c>
      <c r="O8" s="1">
        <f t="shared" si="1"/>
        <v>1.5772870662460567E-2</v>
      </c>
      <c r="P8" s="1">
        <f t="shared" si="2"/>
        <v>0.12618296529968454</v>
      </c>
      <c r="Q8" s="1">
        <f t="shared" si="3"/>
        <v>0.85804416403785488</v>
      </c>
    </row>
    <row r="9" spans="1:17" x14ac:dyDescent="0.25">
      <c r="A9">
        <v>0.04</v>
      </c>
      <c r="B9">
        <v>0.12</v>
      </c>
      <c r="C9">
        <v>0.96</v>
      </c>
      <c r="D9">
        <v>0.62</v>
      </c>
      <c r="E9">
        <v>2.82</v>
      </c>
      <c r="F9">
        <v>5.4</v>
      </c>
      <c r="G9">
        <v>3.4000000000000002E-2</v>
      </c>
      <c r="H9">
        <v>0.22700000000000001</v>
      </c>
      <c r="I9">
        <v>1E-3</v>
      </c>
      <c r="J9">
        <v>2</v>
      </c>
      <c r="K9">
        <v>0.56799999999999995</v>
      </c>
      <c r="L9" s="1">
        <f t="shared" si="0"/>
        <v>5.4838709677419356E-2</v>
      </c>
      <c r="M9" s="1">
        <f t="shared" si="0"/>
        <v>8.0496453900709225E-2</v>
      </c>
      <c r="N9" s="1">
        <f t="shared" si="0"/>
        <v>1.8518518518518518E-4</v>
      </c>
      <c r="O9" s="1">
        <f t="shared" si="1"/>
        <v>3.5714285714285719E-2</v>
      </c>
      <c r="P9" s="1">
        <f t="shared" si="2"/>
        <v>0.10714285714285715</v>
      </c>
      <c r="Q9" s="1">
        <f t="shared" si="3"/>
        <v>0.85714285714285721</v>
      </c>
    </row>
    <row r="10" spans="1:17" x14ac:dyDescent="0.25">
      <c r="A10">
        <v>0.06</v>
      </c>
      <c r="B10">
        <v>0.06</v>
      </c>
      <c r="C10">
        <v>0.91400000000000003</v>
      </c>
      <c r="D10">
        <v>2.4</v>
      </c>
      <c r="E10">
        <v>3.3</v>
      </c>
      <c r="F10">
        <v>10.199999999999999</v>
      </c>
      <c r="G10">
        <v>5.8000000000000003E-2</v>
      </c>
      <c r="H10">
        <v>0.30299999999999999</v>
      </c>
      <c r="I10">
        <v>2E-3</v>
      </c>
      <c r="J10">
        <v>3</v>
      </c>
      <c r="K10">
        <v>0.56799999999999995</v>
      </c>
      <c r="L10" s="1">
        <f t="shared" si="0"/>
        <v>2.416666666666667E-2</v>
      </c>
      <c r="M10" s="1">
        <f t="shared" si="0"/>
        <v>9.1818181818181827E-2</v>
      </c>
      <c r="N10" s="1">
        <f t="shared" si="0"/>
        <v>1.9607843137254904E-4</v>
      </c>
      <c r="O10" s="1">
        <f t="shared" si="1"/>
        <v>5.8027079303675046E-2</v>
      </c>
      <c r="P10" s="1">
        <f t="shared" si="2"/>
        <v>5.8027079303675046E-2</v>
      </c>
      <c r="Q10" s="1">
        <f t="shared" si="3"/>
        <v>0.88394584139264987</v>
      </c>
    </row>
    <row r="11" spans="1:17" x14ac:dyDescent="0.25">
      <c r="A11">
        <v>8.3000000000000004E-2</v>
      </c>
      <c r="B11">
        <v>0.183</v>
      </c>
      <c r="C11">
        <v>1.2749999999999999</v>
      </c>
      <c r="D11">
        <v>2.9</v>
      </c>
      <c r="E11">
        <v>5.7</v>
      </c>
      <c r="F11">
        <v>9</v>
      </c>
      <c r="G11">
        <v>0.06</v>
      </c>
      <c r="H11">
        <v>0.377</v>
      </c>
      <c r="I11">
        <v>8.9999999999999993E-3</v>
      </c>
      <c r="J11">
        <v>3</v>
      </c>
      <c r="K11">
        <v>0.85</v>
      </c>
      <c r="L11" s="1">
        <f t="shared" si="0"/>
        <v>2.0689655172413793E-2</v>
      </c>
      <c r="M11" s="1">
        <f t="shared" si="0"/>
        <v>6.6140350877192985E-2</v>
      </c>
      <c r="N11" s="1">
        <f t="shared" si="0"/>
        <v>1E-3</v>
      </c>
      <c r="O11" s="1">
        <f t="shared" si="1"/>
        <v>5.3861129136924084E-2</v>
      </c>
      <c r="P11" s="1">
        <f t="shared" si="2"/>
        <v>0.11875405580791694</v>
      </c>
      <c r="Q11" s="1">
        <f t="shared" si="3"/>
        <v>0.82738481505515893</v>
      </c>
    </row>
    <row r="12" spans="1:17" x14ac:dyDescent="0.25">
      <c r="A12">
        <v>0.02</v>
      </c>
      <c r="B12">
        <v>0.06</v>
      </c>
      <c r="C12">
        <v>0.56000000000000005</v>
      </c>
      <c r="D12">
        <v>0.7</v>
      </c>
      <c r="E12">
        <v>1.7</v>
      </c>
      <c r="F12">
        <v>5</v>
      </c>
      <c r="G12">
        <v>6.8000000000000005E-2</v>
      </c>
      <c r="H12">
        <v>0.189</v>
      </c>
      <c r="I12">
        <v>3.0000000000000001E-3</v>
      </c>
      <c r="J12">
        <v>3</v>
      </c>
      <c r="K12">
        <v>0.35</v>
      </c>
      <c r="L12" s="1">
        <f t="shared" si="0"/>
        <v>9.7142857142857156E-2</v>
      </c>
      <c r="M12" s="1">
        <f t="shared" si="0"/>
        <v>0.11117647058823529</v>
      </c>
      <c r="N12" s="1">
        <f t="shared" si="0"/>
        <v>6.0000000000000006E-4</v>
      </c>
      <c r="O12" s="1">
        <f t="shared" si="1"/>
        <v>3.125E-2</v>
      </c>
      <c r="P12" s="1">
        <f t="shared" si="2"/>
        <v>9.375E-2</v>
      </c>
      <c r="Q12" s="1">
        <f t="shared" si="3"/>
        <v>0.87500000000000011</v>
      </c>
    </row>
    <row r="13" spans="1:17" x14ac:dyDescent="0.25">
      <c r="A13">
        <v>0.27</v>
      </c>
      <c r="B13">
        <v>0.27</v>
      </c>
      <c r="C13">
        <v>1.3</v>
      </c>
      <c r="D13">
        <v>2.7</v>
      </c>
      <c r="E13">
        <v>3.8</v>
      </c>
      <c r="F13">
        <v>10.5</v>
      </c>
      <c r="G13">
        <v>2.9000000000000001E-2</v>
      </c>
      <c r="H13">
        <v>0.13700000000000001</v>
      </c>
      <c r="I13">
        <v>0.01</v>
      </c>
      <c r="J13">
        <v>3</v>
      </c>
      <c r="K13">
        <v>1.33</v>
      </c>
      <c r="L13" s="1">
        <f t="shared" si="0"/>
        <v>1.074074074074074E-2</v>
      </c>
      <c r="M13" s="1">
        <f t="shared" si="0"/>
        <v>3.6052631578947371E-2</v>
      </c>
      <c r="N13" s="1">
        <f t="shared" si="0"/>
        <v>9.5238095238095238E-4</v>
      </c>
      <c r="O13" s="1">
        <f t="shared" si="1"/>
        <v>0.14673913043478262</v>
      </c>
      <c r="P13" s="1">
        <f t="shared" si="2"/>
        <v>0.14673913043478262</v>
      </c>
      <c r="Q13" s="1">
        <f t="shared" si="3"/>
        <v>0.70652173913043481</v>
      </c>
    </row>
    <row r="14" spans="1:17" x14ac:dyDescent="0.25">
      <c r="N14" s="1"/>
    </row>
    <row r="15" spans="1:17" x14ac:dyDescent="0.25">
      <c r="N15" s="1"/>
    </row>
    <row r="16" spans="1:17" x14ac:dyDescent="0.25">
      <c r="N16" s="1"/>
    </row>
    <row r="17" spans="14:14" x14ac:dyDescent="0.25">
      <c r="N17" s="1"/>
    </row>
  </sheetData>
  <mergeCells count="17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P2:P4"/>
    <mergeCell ref="Q2:Q4"/>
    <mergeCell ref="J2:J4"/>
    <mergeCell ref="K2:K4"/>
    <mergeCell ref="L2:L4"/>
    <mergeCell ref="M2:M4"/>
    <mergeCell ref="N2:N4"/>
    <mergeCell ref="O2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2026-03-25T08:24:29Z</dcterms:created>
  <dcterms:modified xsi:type="dcterms:W3CDTF">2026-03-25T09:14:30Z</dcterms:modified>
</cp:coreProperties>
</file>