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spiral analysis attock\"/>
    </mc:Choice>
  </mc:AlternateContent>
  <xr:revisionPtr revIDLastSave="0" documentId="8_{57A2E2E8-52F9-4900-988E-0758A456B28A}" xr6:coauthVersionLast="47" xr6:coauthVersionMax="47" xr10:uidLastSave="{00000000-0000-0000-0000-000000000000}"/>
  <bookViews>
    <workbookView xWindow="-120" yWindow="-120" windowWidth="20730" windowHeight="11040" xr2:uid="{54BA31B9-155A-446B-BA9B-64559BDB8D16}"/>
  </bookViews>
  <sheets>
    <sheet name="Sensitivity Analysis Spiral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</calcChain>
</file>

<file path=xl/sharedStrings.xml><?xml version="1.0" encoding="utf-8"?>
<sst xmlns="http://schemas.openxmlformats.org/spreadsheetml/2006/main" count="21" uniqueCount="15">
  <si>
    <t>Sensitivity Analysis of Spiral 5</t>
  </si>
  <si>
    <t>Condition</t>
  </si>
  <si>
    <t>Sample No.</t>
  </si>
  <si>
    <t>Product Type</t>
  </si>
  <si>
    <t>Flowrate (L/hr)</t>
  </si>
  <si>
    <t>Slurry Weight (g)</t>
  </si>
  <si>
    <t>Dry Solid Weight (g)</t>
  </si>
  <si>
    <t>% Solid</t>
  </si>
  <si>
    <t>Flowrate based Yield %</t>
  </si>
  <si>
    <t>At Narrow Splitter</t>
  </si>
  <si>
    <t>Concentrate</t>
  </si>
  <si>
    <t>Tailings</t>
  </si>
  <si>
    <t>Middling</t>
  </si>
  <si>
    <t>At Open Splitter</t>
  </si>
  <si>
    <t>At Medium Splitter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</si>
</sst>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4" tint="-0.249977111117893"/>
      <name val="Times New Roman"/>
      <family val="1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3" fontId="3" fillId="0" borderId="1" xfId="0" applyNumberFormat="1" applyFont="1" applyBorder="1" applyAlignment="1">
      <alignment vertical="center" wrapText="1" readingOrder="1"/>
    </xf>
    <xf numFmtId="10" fontId="3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3" fontId="4" fillId="0" borderId="1" xfId="0" applyNumberFormat="1" applyFont="1" applyBorder="1" applyAlignment="1">
      <alignment vertical="center" wrapText="1" readingOrder="1"/>
    </xf>
    <xf numFmtId="10" fontId="3" fillId="0" borderId="1" xfId="0" applyNumberFormat="1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E98B-16E6-4F3D-9876-02C6B172524A}">
  <dimension ref="A1:H11"/>
  <sheetViews>
    <sheetView tabSelected="1" workbookViewId="0">
      <selection activeCell="M9" sqref="M9"/>
    </sheetView>
  </sheetViews>
  <sheetFormatPr defaultRowHeight="15" x14ac:dyDescent="0.25"/>
  <cols>
    <col min="1" max="1" width="11.5703125" customWidth="1"/>
    <col min="2" max="2" width="8.85546875" customWidth="1"/>
    <col min="3" max="3" width="13.140625" customWidth="1"/>
    <col min="4" max="4" width="10.7109375" customWidth="1"/>
    <col min="5" max="5" width="11.140625" customWidth="1"/>
    <col min="6" max="6" width="10.85546875" customWidth="1"/>
    <col min="8" max="8" width="10.42578125" customWidth="1"/>
  </cols>
  <sheetData>
    <row r="1" spans="1:8" ht="19.5" thickBot="1" x14ac:dyDescent="0.35">
      <c r="A1" s="1" t="s">
        <v>0</v>
      </c>
    </row>
    <row r="2" spans="1:8" ht="4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30.75" thickBot="1" x14ac:dyDescent="0.3">
      <c r="A3" s="2" t="s">
        <v>9</v>
      </c>
      <c r="B3" s="3">
        <v>29</v>
      </c>
      <c r="C3" s="3" t="s">
        <v>10</v>
      </c>
      <c r="D3" s="4">
        <v>3780</v>
      </c>
      <c r="E3" s="4">
        <v>2242</v>
      </c>
      <c r="F3" s="3">
        <v>482</v>
      </c>
      <c r="G3" s="5">
        <f>F3/E3</f>
        <v>0.21498661909009811</v>
      </c>
      <c r="H3" s="6">
        <f>D3/20808</f>
        <v>0.18166089965397925</v>
      </c>
    </row>
    <row r="4" spans="1:8" ht="15.75" thickBot="1" x14ac:dyDescent="0.3">
      <c r="A4" s="3"/>
      <c r="B4" s="3">
        <v>30</v>
      </c>
      <c r="C4" s="3" t="s">
        <v>11</v>
      </c>
      <c r="D4" s="4">
        <v>11124</v>
      </c>
      <c r="E4" s="4">
        <v>1917</v>
      </c>
      <c r="F4" s="3">
        <v>71</v>
      </c>
      <c r="G4" s="5">
        <f t="shared" ref="G4:G8" si="0">F4/E4</f>
        <v>3.7037037037037035E-2</v>
      </c>
      <c r="H4" s="6">
        <f t="shared" ref="H4:H5" si="1">D4/20808</f>
        <v>0.53460207612456745</v>
      </c>
    </row>
    <row r="5" spans="1:8" ht="15.75" thickBot="1" x14ac:dyDescent="0.3">
      <c r="A5" s="3"/>
      <c r="B5" s="3">
        <v>43</v>
      </c>
      <c r="C5" s="3" t="s">
        <v>12</v>
      </c>
      <c r="D5" s="4">
        <v>5904</v>
      </c>
      <c r="E5" s="4">
        <v>2497</v>
      </c>
      <c r="F5" s="3">
        <v>676</v>
      </c>
      <c r="G5" s="5">
        <f t="shared" si="0"/>
        <v>0.27072486984381255</v>
      </c>
      <c r="H5" s="6">
        <f t="shared" si="1"/>
        <v>0.2837370242214533</v>
      </c>
    </row>
    <row r="6" spans="1:8" ht="30.75" thickBot="1" x14ac:dyDescent="0.3">
      <c r="A6" s="2" t="s">
        <v>13</v>
      </c>
      <c r="B6" s="3">
        <v>31</v>
      </c>
      <c r="C6" s="3" t="s">
        <v>10</v>
      </c>
      <c r="D6" s="4">
        <v>3528</v>
      </c>
      <c r="E6" s="4">
        <v>2239</v>
      </c>
      <c r="F6" s="3">
        <v>736</v>
      </c>
      <c r="G6" s="5">
        <f t="shared" si="0"/>
        <v>0.32871817775792767</v>
      </c>
      <c r="H6" s="6">
        <f>D6/18792</f>
        <v>0.18773946360153257</v>
      </c>
    </row>
    <row r="7" spans="1:8" ht="15.75" thickBot="1" x14ac:dyDescent="0.3">
      <c r="A7" s="3"/>
      <c r="B7" s="3">
        <v>32</v>
      </c>
      <c r="C7" s="3" t="s">
        <v>11</v>
      </c>
      <c r="D7" s="4">
        <v>11412</v>
      </c>
      <c r="E7" s="4">
        <v>2149</v>
      </c>
      <c r="F7" s="3">
        <v>74</v>
      </c>
      <c r="G7" s="5">
        <f t="shared" si="0"/>
        <v>3.4434620753838997E-2</v>
      </c>
      <c r="H7" s="6">
        <f t="shared" ref="H7:H8" si="2">D7/18792</f>
        <v>0.60727969348659006</v>
      </c>
    </row>
    <row r="8" spans="1:8" ht="15.75" thickBot="1" x14ac:dyDescent="0.3">
      <c r="A8" s="3"/>
      <c r="B8" s="3">
        <v>44</v>
      </c>
      <c r="C8" s="3" t="s">
        <v>12</v>
      </c>
      <c r="D8" s="4">
        <v>3852</v>
      </c>
      <c r="E8" s="4">
        <v>1802</v>
      </c>
      <c r="F8" s="3">
        <v>347</v>
      </c>
      <c r="G8" s="5">
        <f t="shared" si="0"/>
        <v>0.1925638179800222</v>
      </c>
      <c r="H8" s="6">
        <f t="shared" si="2"/>
        <v>0.2049808429118774</v>
      </c>
    </row>
    <row r="9" spans="1:8" ht="30.75" thickBot="1" x14ac:dyDescent="0.3">
      <c r="A9" s="2" t="s">
        <v>14</v>
      </c>
      <c r="B9" s="3"/>
      <c r="C9" s="3" t="s">
        <v>10</v>
      </c>
      <c r="D9" s="4">
        <v>5148</v>
      </c>
      <c r="E9" s="7">
        <v>3501</v>
      </c>
      <c r="F9" s="3">
        <v>1074</v>
      </c>
      <c r="G9" s="8">
        <f t="shared" ref="G9:G11" si="3">(F9/E9)</f>
        <v>0.30676949443016283</v>
      </c>
      <c r="H9" s="6">
        <f>D9/20232</f>
        <v>0.25444839857651247</v>
      </c>
    </row>
    <row r="10" spans="1:8" ht="15.75" thickBot="1" x14ac:dyDescent="0.3">
      <c r="A10" s="3"/>
      <c r="B10" s="3"/>
      <c r="C10" s="3" t="s">
        <v>12</v>
      </c>
      <c r="D10" s="4">
        <v>2952</v>
      </c>
      <c r="E10" s="7">
        <v>1789</v>
      </c>
      <c r="F10" s="3">
        <v>483</v>
      </c>
      <c r="G10" s="8">
        <f t="shared" si="3"/>
        <v>0.26998323085522641</v>
      </c>
      <c r="H10" s="6">
        <f t="shared" ref="H10:H11" si="4">D10/20232</f>
        <v>0.14590747330960854</v>
      </c>
    </row>
    <row r="11" spans="1:8" ht="15.75" thickBot="1" x14ac:dyDescent="0.3">
      <c r="A11" s="3"/>
      <c r="B11" s="3"/>
      <c r="C11" s="3" t="s">
        <v>11</v>
      </c>
      <c r="D11" s="4">
        <v>12132</v>
      </c>
      <c r="E11" s="7">
        <v>3246</v>
      </c>
      <c r="F11" s="3">
        <v>77</v>
      </c>
      <c r="G11" s="8">
        <f t="shared" si="3"/>
        <v>2.3721503388786199E-2</v>
      </c>
      <c r="H11" s="6">
        <f t="shared" si="4"/>
        <v>0.59964412811387902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 Analysis Spiral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2026-03-23T06:31:48Z</dcterms:created>
  <dcterms:modified xsi:type="dcterms:W3CDTF">2026-03-23T06:32:22Z</dcterms:modified>
</cp:coreProperties>
</file>